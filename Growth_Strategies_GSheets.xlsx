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E6BA6D1-24F6-4842-B3E9-EC62A7A5C1E8}" xr6:coauthVersionLast="47" xr6:coauthVersionMax="47" xr10:uidLastSave="{00000000-0000-0000-0000-000000000000}"/>
  <bookViews>
    <workbookView xWindow="-108" yWindow="-108" windowWidth="23256" windowHeight="12576" tabRatio="500" activeTab="4" xr2:uid="{00000000-000D-0000-FFFF-FFFF00000000}"/>
  </bookViews>
  <sheets>
    <sheet name="📋 Index" sheetId="1" r:id="rId1"/>
    <sheet name="🔍 Q4 Audit" sheetId="2" r:id="rId2"/>
    <sheet name="📊 Daily Data" sheetId="3" r:id="rId3"/>
    <sheet name="🧮 Assumptions" sheetId="4" r:id="rId4"/>
    <sheet name="📈 Q1 2026 Forecast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7" i="5" l="1"/>
  <c r="E27" i="5"/>
  <c r="D27" i="5"/>
  <c r="C27" i="5"/>
  <c r="F18" i="5"/>
  <c r="E18" i="5"/>
  <c r="D18" i="5"/>
  <c r="C18" i="5"/>
  <c r="F11" i="5"/>
  <c r="E11" i="5"/>
  <c r="D11" i="5"/>
  <c r="C11" i="5"/>
  <c r="F9" i="5"/>
  <c r="E9" i="5"/>
  <c r="D9" i="5"/>
  <c r="C9" i="5"/>
  <c r="F6" i="5"/>
  <c r="E6" i="5"/>
  <c r="E10" i="5" s="1"/>
  <c r="D6" i="5"/>
  <c r="D10" i="5" s="1"/>
  <c r="C6" i="5"/>
  <c r="C10" i="5" s="1"/>
  <c r="N94" i="3"/>
  <c r="M94" i="3"/>
  <c r="L94" i="3"/>
  <c r="J94" i="3"/>
  <c r="I94" i="3"/>
  <c r="H94" i="3"/>
  <c r="F94" i="3"/>
  <c r="E94" i="3"/>
  <c r="D94" i="3"/>
  <c r="C94" i="3"/>
  <c r="D22" i="2"/>
  <c r="D21" i="2"/>
  <c r="D20" i="2"/>
  <c r="D19" i="2"/>
  <c r="D18" i="2"/>
  <c r="D17" i="2"/>
  <c r="D16" i="2"/>
  <c r="D15" i="2"/>
  <c r="D14" i="2"/>
  <c r="D13" i="2"/>
  <c r="E32" i="5" l="1"/>
  <c r="C22" i="5"/>
  <c r="F22" i="5" s="1"/>
  <c r="C14" i="5"/>
  <c r="F10" i="5"/>
  <c r="D22" i="5"/>
  <c r="D14" i="5"/>
  <c r="E22" i="5"/>
  <c r="E14" i="5"/>
  <c r="C7" i="5"/>
  <c r="C8" i="5"/>
  <c r="C28" i="5"/>
  <c r="C29" i="5"/>
  <c r="C30" i="5"/>
  <c r="C31" i="5"/>
  <c r="D7" i="5"/>
  <c r="D8" i="5"/>
  <c r="D28" i="5"/>
  <c r="D29" i="5"/>
  <c r="D30" i="5"/>
  <c r="D31" i="5"/>
  <c r="E7" i="5"/>
  <c r="E8" i="5"/>
  <c r="E28" i="5"/>
  <c r="E29" i="5"/>
  <c r="E30" i="5"/>
  <c r="E31" i="5"/>
  <c r="F8" i="5" l="1"/>
  <c r="D23" i="5"/>
  <c r="D21" i="5"/>
  <c r="D16" i="5"/>
  <c r="D15" i="5"/>
  <c r="D17" i="5" s="1"/>
  <c r="F30" i="5"/>
  <c r="F29" i="5"/>
  <c r="E23" i="5"/>
  <c r="E21" i="5"/>
  <c r="E16" i="5"/>
  <c r="E17" i="5" s="1"/>
  <c r="E15" i="5"/>
  <c r="D32" i="5"/>
  <c r="F31" i="5"/>
  <c r="F7" i="5"/>
  <c r="F28" i="5"/>
  <c r="C23" i="5"/>
  <c r="F23" i="5" s="1"/>
  <c r="C21" i="5"/>
  <c r="C16" i="5"/>
  <c r="F14" i="5"/>
  <c r="C15" i="5"/>
  <c r="C32" i="5"/>
  <c r="F32" i="5" s="1"/>
  <c r="E35" i="5" l="1"/>
  <c r="E36" i="5" s="1"/>
  <c r="E39" i="5" s="1"/>
  <c r="E24" i="5"/>
  <c r="E37" i="5" s="1"/>
  <c r="E38" i="5" s="1"/>
  <c r="D35" i="5"/>
  <c r="D36" i="5" s="1"/>
  <c r="D39" i="5" s="1"/>
  <c r="D24" i="5"/>
  <c r="D37" i="5" s="1"/>
  <c r="D38" i="5" s="1"/>
  <c r="F16" i="5"/>
  <c r="C17" i="5"/>
  <c r="F15" i="5"/>
  <c r="F21" i="5"/>
  <c r="C35" i="5" l="1"/>
  <c r="C24" i="5"/>
  <c r="F17" i="5"/>
  <c r="C37" i="5" l="1"/>
  <c r="F24" i="5"/>
  <c r="F35" i="5"/>
  <c r="C36" i="5"/>
  <c r="C39" i="5" l="1"/>
  <c r="F36" i="5"/>
  <c r="F37" i="5"/>
  <c r="C38" i="5"/>
  <c r="F38" i="5" s="1"/>
</calcChain>
</file>

<file path=xl/sharedStrings.xml><?xml version="1.0" encoding="utf-8"?>
<sst xmlns="http://schemas.openxmlformats.org/spreadsheetml/2006/main" count="382" uniqueCount="351">
  <si>
    <t>GROWTH STRATEGIES — FINANCIAL MODEL</t>
  </si>
  <si>
    <t>Q4 2025 Forensic Audit  |  Q1 2026 Contribution Margin Forecast  |  All figures in CAD</t>
  </si>
  <si>
    <t>KEY FINDINGS — Q4 2025</t>
  </si>
  <si>
    <t>WORKBOOK NAVIGATION</t>
  </si>
  <si>
    <t>Gross Sales</t>
  </si>
  <si>
    <t>$3,310,451</t>
  </si>
  <si>
    <t>📋 Index</t>
  </si>
  <si>
    <t>This sheet — overview and navigation</t>
  </si>
  <si>
    <t>Net Sales</t>
  </si>
  <si>
    <t>$2,705,296</t>
  </si>
  <si>
    <t>🔍 Q4 Audit</t>
  </si>
  <si>
    <t>Forensic P&amp;L, daily data, worst day analysis</t>
  </si>
  <si>
    <t>Total Orders</t>
  </si>
  <si>
    <t>15,093</t>
  </si>
  <si>
    <t>📊 Daily Data</t>
  </si>
  <si>
    <t>Full 91-day daily transaction table</t>
  </si>
  <si>
    <t>Avg Order Value</t>
  </si>
  <si>
    <t>$219.35</t>
  </si>
  <si>
    <t>📈 Q1 2026 Forecast</t>
  </si>
  <si>
    <t>Month-by-month P&amp;L forecast with scenarios</t>
  </si>
  <si>
    <t>Weighted COGS %</t>
  </si>
  <si>
    <t>35.20%</t>
  </si>
  <si>
    <t>🧮 Assumptions</t>
  </si>
  <si>
    <t>All model inputs — change here, flows everywhere</t>
  </si>
  <si>
    <t>COGS Total</t>
  </si>
  <si>
    <t>$1,165,221</t>
  </si>
  <si>
    <t>Shipping Cost</t>
  </si>
  <si>
    <t>$128,291</t>
  </si>
  <si>
    <t>Ad Spend</t>
  </si>
  <si>
    <t>$627,400</t>
  </si>
  <si>
    <t>Contribution Margin $</t>
  </si>
  <si>
    <t>$784,384</t>
  </si>
  <si>
    <t>Contribution Margin %</t>
  </si>
  <si>
    <t>23.69%</t>
  </si>
  <si>
    <t>Worst Day</t>
  </si>
  <si>
    <t>Sep 23, 2025</t>
  </si>
  <si>
    <t>Worst Day CM</t>
  </si>
  <si>
    <t>($12,950) / -33.2%</t>
  </si>
  <si>
    <t>COLOR CODING LEGEND</t>
  </si>
  <si>
    <t>Blue text</t>
  </si>
  <si>
    <t>Hardcoded input — you can change these</t>
  </si>
  <si>
    <t>Black text</t>
  </si>
  <si>
    <t>Formula / calculated value — do not edit</t>
  </si>
  <si>
    <t>Green text</t>
  </si>
  <si>
    <t>Cross-sheet link pulling from another tab</t>
  </si>
  <si>
    <t>Yellow background</t>
  </si>
  <si>
    <t>KEY ASSUMPTION — review before use</t>
  </si>
  <si>
    <t>Green background</t>
  </si>
  <si>
    <t>Positive / target achieved</t>
  </si>
  <si>
    <t>Red background</t>
  </si>
  <si>
    <t>Negative / target missed</t>
  </si>
  <si>
    <t>Data Sources:</t>
  </si>
  <si>
    <t>• Gross_sales_over_time_2025-09-17_2025-12-16.csv — Shopify daily sales export</t>
  </si>
  <si>
    <t>• Marketing_Channel_Performance_Sheet1.csv — Meta/Google/TikTok/Email daily spend &amp; attributed sales</t>
  </si>
  <si>
    <t>• Sessions_over_time_2025-09-17_2025-12-16.csv — Shopify sessions, conversion rate, bounce rate</t>
  </si>
  <si>
    <t>• Total_sales_by_product_variant2.csv — SKU-level gross sales and COGS (source of weighted COGS %)</t>
  </si>
  <si>
    <t>• Total_sales_by_billing_location.csv — Orders by geography (source of total order count)</t>
  </si>
  <si>
    <t>• Weighted Avg COGS: $1,135,677 COGS / $3,226,515 Gross Sales from product variant file = 35.20%</t>
  </si>
  <si>
    <t>• Shipping: $8.50 flat cost per order x 15,093 orders = $128,291 (per brief assumption)</t>
  </si>
  <si>
    <t>🔍  Q4 FORENSIC AUDIT  |  Sep 17 - Dec 16, 2025</t>
  </si>
  <si>
    <t>SECTION A — WEIGHTED AVERAGE COGS CALCULATION (Source: product variant CSV)</t>
  </si>
  <si>
    <t>Metric</t>
  </si>
  <si>
    <t>Value</t>
  </si>
  <si>
    <t>Notes / Formula</t>
  </si>
  <si>
    <t>Total Gross Sales (product variant file)</t>
  </si>
  <si>
    <t>SUM(Gross Sales) where COGS &gt; 0</t>
  </si>
  <si>
    <t>Total COGS (product variant file)</t>
  </si>
  <si>
    <t>SUM(Cost of goods sold) — actual per SKU</t>
  </si>
  <si>
    <t>Weighted Avg COGS % of Gross Sales</t>
  </si>
  <si>
    <t>Total COGS / Total Gross Sales = 35.20%</t>
  </si>
  <si>
    <t>Gross Sales (daily file — used for P&amp;L)</t>
  </si>
  <si>
    <t>SUM(Gross sales) from daily file</t>
  </si>
  <si>
    <t>COGS applied to daily file</t>
  </si>
  <si>
    <t>Gross Sales x 35.20% weighted avg COGS %</t>
  </si>
  <si>
    <t>SECTION B — TRUE CONTRIBUTION MARGIN P&amp;L  |  Formula: Net Sales - COGS - Shipping - Ad Spend</t>
  </si>
  <si>
    <t>P&amp;L Line Item</t>
  </si>
  <si>
    <t>Amount ($)</t>
  </si>
  <si>
    <t>% of Gross</t>
  </si>
  <si>
    <t>Notes</t>
  </si>
  <si>
    <t>GROSS SALES</t>
  </si>
  <si>
    <t>Sum of all daily gross sales</t>
  </si>
  <si>
    <t xml:space="preserve">  (Less) Returns</t>
  </si>
  <si>
    <t>Negative — items returned by customers</t>
  </si>
  <si>
    <t xml:space="preserve">  (Less) Discounts</t>
  </si>
  <si>
    <t>Promo codes, discount orders</t>
  </si>
  <si>
    <t>NET SALES</t>
  </si>
  <si>
    <t>Gross Sales + Returns + Discounts</t>
  </si>
  <si>
    <t xml:space="preserve">  (Less) COGS</t>
  </si>
  <si>
    <t>Gross Sales x 35.20% weighted COGS %</t>
  </si>
  <si>
    <t xml:space="preserve">  (Less) Shipping</t>
  </si>
  <si>
    <t>15,093 orders x $8.50 flat cost per order</t>
  </si>
  <si>
    <t xml:space="preserve">  (Less) Ad Spend</t>
  </si>
  <si>
    <t>Meta + Google + TikTok + Email/SMS (all channels)</t>
  </si>
  <si>
    <t>CONTRIBUTION MARGIN</t>
  </si>
  <si>
    <t>Net Sales - COGS - Shipping - Ad Spend</t>
  </si>
  <si>
    <t xml:space="preserve">  (Memo) Merchant Fees (2.5%)</t>
  </si>
  <si>
    <t>2.5% of gross — for reference</t>
  </si>
  <si>
    <t xml:space="preserve">  (Memo) CM after Merchant Fees</t>
  </si>
  <si>
    <t>CM minus merchant fees — true floor</t>
  </si>
  <si>
    <t>TRUE CONTRIBUTION MARGIN = $784,384  |  23.69% of Gross Sales  |  This ALREADY EXCEEDS the 15% CEO target for Q1.</t>
  </si>
  <si>
    <t>SECTION C — THE 'CASH BURN' DAY  |  Single Worst Day for Profitability</t>
  </si>
  <si>
    <t>WORST DAY: September 23, 2025 — Contribution Margin = ($12,950) | -33.2% margin</t>
  </si>
  <si>
    <t>Returns (55.1% of gross!)</t>
  </si>
  <si>
    <t>COGS (35.2% of gross)</t>
  </si>
  <si>
    <t>Shipping Cost (est.)</t>
  </si>
  <si>
    <t>CM % of Gross</t>
  </si>
  <si>
    <t>Sessions that day</t>
  </si>
  <si>
    <t>Revenue Per Session (RPS)</t>
  </si>
  <si>
    <t>Period Avg RPS</t>
  </si>
  <si>
    <t>RPS vs Period Avg</t>
  </si>
  <si>
    <t>WHY IT HAPPENED — Root Cause Analysis:</t>
  </si>
  <si>
    <t>1. RETURNS CRISIS: Returns on Sep 23 were $21,516 = 55.1% of that day's gross sales vs the period average return rate of 16.7%.</t>
  </si>
  <si>
    <t>2. ROOT CAUSE: The Sep 17-18 launch spike (both days $44K-$97K gross) likely included mass ordering of Scuba Pant and Kirsten Mock Neck Top.</t>
  </si>
  <si>
    <t xml:space="preserve">   The ~6-day return lag means Sep 23 received the concentrated return wave from that launch event. High-return SKUs shipped en masse, returned en masse.</t>
  </si>
  <si>
    <t>3. AD SPEND MISMATCH: $15,050 ad spend on Sep 23 was the 2nd highest single-day spend. With net sales crippled by returns,</t>
  </si>
  <si>
    <t xml:space="preserve">   the economics collapsed. ROAS appeared 3.58x on reported sales — looks fine — but CM was -33.2% due to return destruction.</t>
  </si>
  <si>
    <t>4. KEY LESSON: ROAS metrics are blind to returns. Contribution Margin is the only honest profitability measure.</t>
  </si>
  <si>
    <t xml:space="preserve">   Sep 23 shows exactly why return rate must be tracked in real-time alongside ad spend decisions.</t>
  </si>
  <si>
    <t>SECTION D — THE 'EFFICIENCY' LEAK  |  Top 5 Ad Spend Days vs Period Average</t>
  </si>
  <si>
    <t>Date</t>
  </si>
  <si>
    <t>Sessions</t>
  </si>
  <si>
    <t>RPS</t>
  </si>
  <si>
    <t>RPS vs Avg</t>
  </si>
  <si>
    <t>ROAS</t>
  </si>
  <si>
    <t>CM %</t>
  </si>
  <si>
    <t>Verdict</t>
  </si>
  <si>
    <t>2025-11-28</t>
  </si>
  <si>
    <t>BELOW AVG</t>
  </si>
  <si>
    <t>2025-09-23</t>
  </si>
  <si>
    <t>LOSS DAY</t>
  </si>
  <si>
    <t>2025-10-03</t>
  </si>
  <si>
    <t>2025-11-27</t>
  </si>
  <si>
    <t>EFFICIENT</t>
  </si>
  <si>
    <t>2025-11-04</t>
  </si>
  <si>
    <t>PERIOD AVERAGE</t>
  </si>
  <si>
    <t>KEY EFFICIENCY INSIGHTS</t>
  </si>
  <si>
    <t>Nov 27 ($12,400 spend): RPS $9.01 vs avg $5.51 (+63.5%). Black Friday eve — every dollar worked hard. CM 33.3%</t>
  </si>
  <si>
    <t>Nov 04 ($10,500 spend): RPS $8.79 (+59.6%). Strong campaign, high conversion day. CM 30.5%</t>
  </si>
  <si>
    <t>Sep 23 ($15,050 spend): RPS $5.17 vs avg $5.51 (-6.1%). Return wave destroyed economics. CM -33.2% — WORST</t>
  </si>
  <si>
    <t>Oct 03 ($12,800 spend): RPS $2.63 (-52.3%). Worst efficiency day of all high-spend days. ROAS 1.37x. CM -2.4%</t>
  </si>
  <si>
    <t>Nov 28 ($15,500 spend, highest): RPS $6.61 (+20%). Black Friday. ROAS 2.97x but CM only 19.4% — returns ate margin.</t>
  </si>
  <si>
    <t>CONCLUSION: Ad spend level alone does NOT predict CM. Oct 03 had high spend + terrible RPS — wrong creative/audience.</t>
  </si>
  <si>
    <t>The pattern: High RPS days (Nov 4, Nov 27) drove strong CM. Low RPS + High Spend days destroyed value (Oct 3, Sep 23).</t>
  </si>
  <si>
    <t>DAILY DATA  |  All 91 Days  |  Sep 17 - Dec 16, 2025</t>
  </si>
  <si>
    <t>Returns</t>
  </si>
  <si>
    <t>Discounts</t>
  </si>
  <si>
    <t>Rptd Revenue</t>
  </si>
  <si>
    <t>COGS</t>
  </si>
  <si>
    <t>Est Orders</t>
  </si>
  <si>
    <t>Ship Cost</t>
  </si>
  <si>
    <t>Cont. Margin</t>
  </si>
  <si>
    <t>Conv %</t>
  </si>
  <si>
    <t>Bounce %</t>
  </si>
  <si>
    <t>2025-09-17</t>
  </si>
  <si>
    <t>2025-09-18</t>
  </si>
  <si>
    <t>2025-09-19</t>
  </si>
  <si>
    <t>2025-09-20</t>
  </si>
  <si>
    <t>2025-09-21</t>
  </si>
  <si>
    <t>2025-09-22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</si>
  <si>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</si>
  <si>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</si>
  <si>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</si>
  <si>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</si>
  <si>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</si>
  <si>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</si>
  <si>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</si>
  <si>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</si>
  <si>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</si>
  <si>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</si>
  <si>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</si>
  <si>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</si>
  <si>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</si>
  <si>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</si>
  <si>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</si>
  <si>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</si>
  <si>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</si>
  <si>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</si>
  <si>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</si>
  <si>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</si>
  <si>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</si>
  <si>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</si>
  <si>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</si>
  <si>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</si>
  <si>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</si>
  <si>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</si>
  <si>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</si>
  <si>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</si>
  <si>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</si>
  <si>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</si>
  <si>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</si>
  <si>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</si>
  <si>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</si>
  <si>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</si>
  <si>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</si>
  <si>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</si>
  <si>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</si>
  <si>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</si>
  <si>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</si>
  <si>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</si>
  <si>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</si>
  <si>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</si>
  <si>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</si>
  <si>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</si>
  <si>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</si>
  <si>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</si>
  <si>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</si>
  <si>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</si>
  <si>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</si>
  <si>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</si>
  <si>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</si>
  <si>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</si>
  <si>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</si>
  <si>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</si>
  <si>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</si>
  <si>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</si>
  <si>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</si>
  <si>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</si>
  <si>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</si>
  <si>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</si>
  <si>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</si>
  <si>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</si>
  <si>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</si>
  <si>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</si>
  <si>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</si>
  <si>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</si>
  <si>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</si>
  <si>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</si>
  <si>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</si>
  <si>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</si>
  <si>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</si>
  <si>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</si>
  <si>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</si>
  <si>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</si>
  <si>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</si>
  <si>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</si>
  <si>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</si>
  <si>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</si>
  <si>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</si>
  <si>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</si>
  <si>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TOTAL / AVERAGE</t>
  </si>
  <si>
    <t>MODEL ASSUMPTIONS  |  All Blue Cells Are Inputs — Change Here To Update Forecast</t>
  </si>
  <si>
    <t>Assumption</t>
  </si>
  <si>
    <t>January 2026</t>
  </si>
  <si>
    <t>February 2026</t>
  </si>
  <si>
    <t>March 2026</t>
  </si>
  <si>
    <t>Notes/Rationale</t>
  </si>
  <si>
    <t>TRAFFIC ASSUMPTIONS</t>
  </si>
  <si>
    <t>Total Sessions (monthly)</t>
  </si>
  <si>
    <t>Q4 avg ~6,500/week = ~28K/mo. Jan typically -30% seasonal dip, ramping through Q1.</t>
  </si>
  <si>
    <t xml:space="preserve">  Paid Sessions %</t>
  </si>
  <si>
    <t>60% paid to start; organic content investment shifts mix by March.</t>
  </si>
  <si>
    <t xml:space="preserve">  Organic Sessions %</t>
  </si>
  <si>
    <t>1 - Paid%. Auto-linked in forecast tab.</t>
  </si>
  <si>
    <t>CONVERSION &amp; REVENUE ASSUMPTIONS</t>
  </si>
  <si>
    <t>Conversion Rate</t>
  </si>
  <si>
    <t>Q4 avg 1.77%. Jan: A/B test live +0.23pp. Feb: +0.43pp. Mar: full uplift to 2.5%.</t>
  </si>
  <si>
    <t>Average Order Value (AOV)</t>
  </si>
  <si>
    <t>Q4 AOV $219.35. Bundle strategy and upsells drive gradual increase.</t>
  </si>
  <si>
    <t>Return Rate (% of gross)</t>
  </si>
  <si>
    <t>Q4 was 16.7%. SKU audit and sizing guide fix drives: Jan 13.5%, Feb 12%, Mar 10%.</t>
  </si>
  <si>
    <t>Discount Rate (% of gross)</t>
  </si>
  <si>
    <t>Q4 was 1.60%. Reducing promo reliance as brand trust and margins improve.</t>
  </si>
  <si>
    <t>COST ASSUMPTIONS</t>
  </si>
  <si>
    <t>COGS % (of Gross Sales)</t>
  </si>
  <si>
    <t>LOCKED at 35.20% weighted avg from product variant CSV. Do not change without new COGS data.</t>
  </si>
  <si>
    <t>Shipping Cost per Order ($)</t>
  </si>
  <si>
    <t>Fixed per brief. Review if carrier rates change.</t>
  </si>
  <si>
    <t>Merchant Fees (% of gross)</t>
  </si>
  <si>
    <t>2.5% of gross — Shopify Payments / credit card processing estimate.</t>
  </si>
  <si>
    <t>MARKETING SPEND ASSUMPTIONS</t>
  </si>
  <si>
    <t>Total Monthly Ad Spend ($)</t>
  </si>
  <si>
    <t>Q4 was $627K over 91 days (~$6,895/day). Jan: pullback to optimise. Feb/Mar: scale winners.</t>
  </si>
  <si>
    <t xml:space="preserve">  Meta % of spend</t>
  </si>
  <si>
    <t>Reduce Meta from 62% — shift toward Google which has best ROAS (3.39x).</t>
  </si>
  <si>
    <t xml:space="preserve">  Google % of spend</t>
  </si>
  <si>
    <t>Scale Google. Expand Shopping campaigns and branded keywords.</t>
  </si>
  <si>
    <t xml:space="preserve">  TikTok % of spend</t>
  </si>
  <si>
    <t>Hold flat while testing UGC. Improve attribution tracking first.</t>
  </si>
  <si>
    <t xml:space="preserve">  Email/SMS % of spend</t>
  </si>
  <si>
    <t>Increase from 2.6% to 8%. Klaviyo flows + UTMs for full revenue attribution.</t>
  </si>
  <si>
    <t>SCENARIO TOGGLE NOTE</t>
  </si>
  <si>
    <t>INSTRUCTIONS: The Q1 2026 Forecast tab uses cross-sheet references to pull all values from this tab. Change any BLUE cell above and the forecast automatically recalculates.
The 15% CM CEO target is ALREADY exceeded by Q4 actuals (23.69%). The Q1 forecast targets 15.5% in January, building to 18%+ in March. If the CEO sets a higher target, increase Conversion Rate (row 10) or reduce Return Rate (row 12) first — these have the highest CM leverage.</t>
  </si>
  <si>
    <t>Q1 2026 P&amp;L FORECAST  |  Jan - Mar 2026  |  CEO Target: 15% Contribution Margin</t>
  </si>
  <si>
    <t>Row Item (all $ in CAD)</t>
  </si>
  <si>
    <t>Q1 2026 Total</t>
  </si>
  <si>
    <t>Q4 2025 Actual</t>
  </si>
  <si>
    <t>Source</t>
  </si>
  <si>
    <t>Assumptions tab col C</t>
  </si>
  <si>
    <t>Assumptions tab col D</t>
  </si>
  <si>
    <t>Assumptions tab col E</t>
  </si>
  <si>
    <t>Jan + Feb + Mar Total</t>
  </si>
  <si>
    <t>Verified from CSV data</t>
  </si>
  <si>
    <t>SECTION 1: TRAFFIC</t>
  </si>
  <si>
    <t>Total Monthly Sessions</t>
  </si>
  <si>
    <t xml:space="preserve">  — Paid Sessions</t>
  </si>
  <si>
    <t xml:space="preserve">  — Organic Sessions</t>
  </si>
  <si>
    <t>Estimated Orders</t>
  </si>
  <si>
    <t>SECTION 2: REVENUE</t>
  </si>
  <si>
    <t xml:space="preserve">  (Memo) Return Rate %</t>
  </si>
  <si>
    <t>SECTION 3: VARIABLE COSTS</t>
  </si>
  <si>
    <t xml:space="preserve">  (Less) COGS  [35.20% of Gross — locked from product CSV]</t>
  </si>
  <si>
    <t xml:space="preserve">  (Less) Shipping Cost  [$8.50 per order]</t>
  </si>
  <si>
    <t xml:space="preserve">  (Less) Merchant Fees  [2.5% of Gross]</t>
  </si>
  <si>
    <t>Gross Profit  [Net - COGS - Shipping - Merchant Fees]</t>
  </si>
  <si>
    <t>SECTION 4: MARKETING</t>
  </si>
  <si>
    <t xml:space="preserve">  (Less) Total Ad Spend</t>
  </si>
  <si>
    <t xml:space="preserve">      Meta Spend</t>
  </si>
  <si>
    <t xml:space="preserve">      Google Spend</t>
  </si>
  <si>
    <t xml:space="preserve">      TikTok Spend</t>
  </si>
  <si>
    <t xml:space="preserve">      Email/SMS Spend</t>
  </si>
  <si>
    <t xml:space="preserve">  (Memo) MER — Marketing Efficiency Ratio</t>
  </si>
  <si>
    <t>SECTION 5: CONTRIBUTION MARGIN — The Bottom Line</t>
  </si>
  <si>
    <t>CONTRIBUTION MARGIN $  [Net Sales - COGS - Shipping - Ad Spend]</t>
  </si>
  <si>
    <t>CONTRIBUTION MARGIN %  [CM / Gross Sales]</t>
  </si>
  <si>
    <t>CM incl. Merchant Fees $  [CM - Merchant Fees]</t>
  </si>
  <si>
    <t>CM incl. Merchant Fees %</t>
  </si>
  <si>
    <t>CEO TARGET CHECK: CM &gt;= 15%?</t>
  </si>
  <si>
    <t>See individual months →</t>
  </si>
  <si>
    <t>23.69% YES</t>
  </si>
  <si>
    <t>ANALYSIS: IS THE 15% CEO TARGET ATTAINABLE? THE MATH BEHIND THE STRATEGY</t>
  </si>
  <si>
    <t>Q4 2025 ACTUAL RESULT: 23.69% CM — Already beats the 15% CEO target by 8.69 percentage points.</t>
  </si>
  <si>
    <t>HOW WAS 23.69% ACHIEVED IN Q4?</t>
  </si>
  <si>
    <t xml:space="preserve">  Net Sales: $2.71M on $3.31M gross (83.8% net-to-gross, reflecting 16.7% return rate + 1.6% discounts)</t>
  </si>
  <si>
    <t xml:space="preserve">  COGS: 35.20% of gross (weighted avg from all SKUs — verified from product variant CSV, not estimated)</t>
  </si>
  <si>
    <t xml:space="preserve">  Shipping: $128K total ($8.50 x 15,093 orders — flat rate assumption per brief)</t>
  </si>
  <si>
    <t xml:space="preserve">  Ad Spend: $627K over 91 days ($6,895/day average across all channels)</t>
  </si>
  <si>
    <t xml:space="preserve">  Result: $784K CM = 23.69% — healthy for DTC fashion apparel</t>
  </si>
  <si>
    <t>Q1 2026 FORECAST SUMMARY — HOW WE GET TO 15%+ IN EVERY MONTH:</t>
  </si>
  <si>
    <t xml:space="preserve">  January: ~15.5% CM — Seasonal traffic dip offset by reduced ad spend and checkout A/B test going live.</t>
  </si>
  <si>
    <t xml:space="preserve">  February: ~16.8% CM — Conversion improving (2.2%), return rate declining (12%), Google reallocation working.</t>
  </si>
  <si>
    <t xml:space="preserve">  March: ~18.4% CM — Full CRO uplift (2.5% CVR), return rate at 10% target, optimised channel mix.</t>
  </si>
  <si>
    <t>THE THREE LEVERS TO FIX MARGIN — RANKED BY IMPACT:</t>
  </si>
  <si>
    <t xml:space="preserve">  LEVER 1 — Return Rate (Highest Impact):</t>
  </si>
  <si>
    <t xml:space="preserve">  Every 1pp reduction in return rate saves ~$33K on $3.3M gross. 16.7% to 10% target = $221K saved.</t>
  </si>
  <si>
    <t xml:space="preserve">  This alone moves CM from 23.69% to ~30%+ if achieved. It is the single biggest lever.</t>
  </si>
  <si>
    <t xml:space="preserve">  Action: SKU audit Week 1, sizing guide update Week 3, product page photography refresh.</t>
  </si>
  <si>
    <t xml:space="preserve">  LEVER 2 — Conversion Rate (High Impact):</t>
  </si>
  <si>
    <t xml:space="preserve">  1.77% to 2.5% adds ~4,300 orders x $225 AOV = $968K additional gross revenue.</t>
  </si>
  <si>
    <t xml:space="preserve">  At 35.2% COGS + $8.50 shipping + 2.5% fees, incremental CM on new orders = $376K.</t>
  </si>
  <si>
    <t xml:space="preserve">  Action: Single-page checkout A/B test Week 2. Add trust signals. Express pay options.</t>
  </si>
  <si>
    <t xml:space="preserve">  LEVER 3 — Channel Mix Reallocation (Medium Impact):</t>
  </si>
  <si>
    <t xml:space="preserve">  Shift 10% of Meta budget ($39K) to Google: incremental ROAS diff (3.39x vs 2.85x) x $39K = +$21K revenue.</t>
  </si>
  <si>
    <t xml:space="preserve">  Reduce wasted spend on low-RPS days (like Oct 03). Only spend aggressively on days with proven high RPS.</t>
  </si>
  <si>
    <t>REVISED CEO RECOMMENDATION:</t>
  </si>
  <si>
    <t xml:space="preserve">  15% in Q1 is CONSERVATIVE given Q4 already hit 23.69%. We recommend a graduated target:</t>
  </si>
  <si>
    <t xml:space="preserve">  January 2026 target: 15.5%  |  February 2026 target: 17.0%  |  March 2026 target: 18.5%+</t>
  </si>
  <si>
    <t xml:space="preserve">  This accounts for Q1 seasonality while building toward structural improvement.</t>
  </si>
  <si>
    <t>CRITICAL RISK — If return rate stays at 16.7%:</t>
  </si>
  <si>
    <t xml:space="preserve">  March CM falls from 18.4% to ~14.5% — BELOW the 15% CEO target.</t>
  </si>
  <si>
    <t xml:space="preserve">  The return rate fix is the single most important action. Must begin in Week 1 of January.</t>
  </si>
  <si>
    <t xml:space="preserve">  No amount of ad spend optimisation or conversion improvement can fully offset a broken return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</si>
</sst>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\$#,##0;&quot;($&quot;#,##0\);\-"/>
    <numFmt numFmtId="166" formatCode="0.0%"/>
    <numFmt numFmtId="167" formatCode="\$#,##0.00"/>
    <numFmt numFmtId="168" formatCode="0.00\x"/>
  </numFmts>
  <fonts count="48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i/>
      <sz val="11"/>
      <color rgb="FF94A3B8"/>
      <name val="Calibri"/>
      <charset val="1"/>
    </font>
    <font>
      <b/>
      <sz val="11"/>
      <color rgb="FF1A2744"/>
      <name val="Calibri"/>
      <charset val="1"/>
    </font>
    <font>
      <b/>
      <sz val="10"/>
      <color rgb="FF64748B"/>
      <name val="Calibri"/>
      <charset val="1"/>
    </font>
    <font>
      <b/>
      <sz val="10"/>
      <color rgb="FF0EA5E9"/>
      <name val="Calibri"/>
      <charset val="1"/>
    </font>
    <font>
      <b/>
      <sz val="10"/>
      <color rgb="FFFFFFFF"/>
      <name val="Calibri"/>
      <charset val="1"/>
    </font>
    <font>
      <sz val="10"/>
      <color rgb="FF64748B"/>
      <name val="Calibri"/>
      <charset val="1"/>
    </font>
    <font>
      <b/>
      <sz val="10"/>
      <color rgb="FF2563EB"/>
      <name val="Calibri"/>
      <charset val="1"/>
    </font>
    <font>
      <b/>
      <sz val="10"/>
      <color rgb="FFEA580C"/>
      <name val="Calibri"/>
      <charset val="1"/>
    </font>
    <font>
      <b/>
      <sz val="10"/>
      <color rgb="FF7C3AED"/>
      <name val="Calibri"/>
      <charset val="1"/>
    </font>
    <font>
      <b/>
      <sz val="10"/>
      <color rgb="FF16A34A"/>
      <name val="Calibri"/>
      <charset val="1"/>
    </font>
    <font>
      <b/>
      <sz val="10"/>
      <color rgb="FFDC2626"/>
      <name val="Calibri"/>
      <charset val="1"/>
    </font>
    <font>
      <b/>
      <sz val="10"/>
      <color rgb="FF0000FF"/>
      <name val="Calibri"/>
      <charset val="1"/>
    </font>
    <font>
      <b/>
      <sz val="10"/>
      <color rgb="FF000000"/>
      <name val="Calibri"/>
      <charset val="1"/>
    </font>
    <font>
      <b/>
      <sz val="10"/>
      <color rgb="FF008000"/>
      <name val="Calibri"/>
      <charset val="1"/>
    </font>
    <font>
      <b/>
      <sz val="9"/>
      <color rgb="FF64748B"/>
      <name val="Calibri"/>
      <charset val="1"/>
    </font>
    <font>
      <i/>
      <sz val="9"/>
      <color rgb="FF64748B"/>
      <name val="Calibri"/>
      <charset val="1"/>
    </font>
    <font>
      <b/>
      <sz val="15"/>
      <color rgb="FFFFFFFF"/>
      <name val="Calibri"/>
      <charset val="1"/>
    </font>
    <font>
      <b/>
      <sz val="11"/>
      <color rgb="FFFFFFFF"/>
      <name val="Calibri"/>
      <charset val="1"/>
    </font>
    <font>
      <b/>
      <sz val="9"/>
      <color rgb="FFFFFFFF"/>
      <name val="Calibri"/>
      <charset val="1"/>
    </font>
    <font>
      <sz val="10"/>
      <color rgb="FF000000"/>
      <name val="Calibri"/>
      <charset val="1"/>
    </font>
    <font>
      <sz val="10"/>
      <color rgb="FFEA580C"/>
      <name val="Calibri"/>
      <charset val="1"/>
    </font>
    <font>
      <b/>
      <sz val="11"/>
      <color rgb="FF16A34A"/>
      <name val="Calibri"/>
      <charset val="1"/>
    </font>
    <font>
      <b/>
      <sz val="11"/>
      <color rgb="FFDC2626"/>
      <name val="Calibri"/>
      <charset val="1"/>
    </font>
    <font>
      <sz val="10"/>
      <color rgb="FFDC2626"/>
      <name val="Calibri"/>
      <charset val="1"/>
    </font>
    <font>
      <b/>
      <sz val="9.5"/>
      <color rgb="FFDC2626"/>
      <name val="Calibri"/>
      <charset val="1"/>
    </font>
    <font>
      <i/>
      <sz val="9.5"/>
      <color rgb="FF000000"/>
      <name val="Calibri"/>
      <charset val="1"/>
    </font>
    <font>
      <sz val="9.5"/>
      <color rgb="FF000000"/>
      <name val="Calibri"/>
      <charset val="1"/>
    </font>
    <font>
      <sz val="10"/>
      <color rgb="FF16A34A"/>
      <name val="Calibri"/>
      <charset val="1"/>
    </font>
    <font>
      <sz val="9.5"/>
      <color rgb="FF16A34A"/>
      <name val="Calibri"/>
      <charset val="1"/>
    </font>
    <font>
      <sz val="9.5"/>
      <color rgb="FFDC2626"/>
      <name val="Calibri"/>
      <charset val="1"/>
    </font>
    <font>
      <b/>
      <sz val="9.5"/>
      <color rgb="FF1A2744"/>
      <name val="Calibri"/>
      <charset val="1"/>
    </font>
    <font>
      <b/>
      <sz val="13"/>
      <color rgb="FFFFFFFF"/>
      <name val="Calibri"/>
      <charset val="1"/>
    </font>
    <font>
      <b/>
      <sz val="14"/>
      <color rgb="FFFFFFFF"/>
      <name val="Calibri"/>
      <charset val="1"/>
    </font>
    <font>
      <sz val="10"/>
      <color rgb="FF0000FF"/>
      <name val="Calibri"/>
      <charset val="1"/>
    </font>
    <font>
      <sz val="10"/>
      <color rgb="FF1A2744"/>
      <name val="Calibri"/>
      <charset val="1"/>
    </font>
    <font>
      <i/>
      <sz val="8"/>
      <color rgb="FF64748B"/>
      <name val="Calibri"/>
      <charset val="1"/>
    </font>
    <font>
      <sz val="10"/>
      <color rgb="FF008000"/>
      <name val="Calibri"/>
      <charset val="1"/>
    </font>
    <font>
      <i/>
      <sz val="10"/>
      <color rgb="FF64748B"/>
      <name val="Calibri"/>
      <charset val="1"/>
    </font>
    <font>
      <b/>
      <i/>
      <sz val="10"/>
      <color rgb="FF64748B"/>
      <name val="Calibri"/>
      <charset val="1"/>
    </font>
    <font>
      <sz val="9.5"/>
      <color rgb="FFEA580C"/>
      <name val="Calibri"/>
      <charset val="1"/>
    </font>
    <font>
      <sz val="9.5"/>
      <color rgb="FF008000"/>
      <name val="Calibri"/>
      <charset val="1"/>
    </font>
    <font>
      <i/>
      <sz val="9.5"/>
      <color rgb="FF64748B"/>
      <name val="Calibri"/>
      <charset val="1"/>
    </font>
    <font>
      <b/>
      <sz val="10.5"/>
      <color rgb="FF16A34A"/>
      <name val="Calibri"/>
      <charset val="1"/>
    </font>
    <font>
      <b/>
      <sz val="10.5"/>
      <color rgb="FF000000"/>
      <name val="Calibri"/>
      <charset val="1"/>
    </font>
    <font>
      <b/>
      <i/>
      <sz val="10.5"/>
      <color rgb="FF64748B"/>
      <name val="Calibri"/>
      <charset val="1"/>
    </font>
    <font>
      <b/>
      <sz val="10"/>
      <color rgb="FF1A2744"/>
      <name val="Calibri"/>
      <charset val="1"/>
    </font>
  </fonts>
  <fills count="20">
    <fill>
      <patternFill patternType="none"/>
    </fill>
    <fill>
      <patternFill patternType="gray125"/>
    </fill>
    <fill>
      <patternFill patternType="solid">
        <fgColor rgb="FF1A2744"/>
        <bgColor rgb="FF253555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DC2626"/>
        <bgColor rgb="FFEA580C"/>
      </patternFill>
    </fill>
    <fill>
      <patternFill patternType="solid">
        <fgColor rgb="FF0EA5E9"/>
        <bgColor rgb="FF33CCCC"/>
      </patternFill>
    </fill>
    <fill>
      <patternFill patternType="solid">
        <fgColor rgb="FF16A34A"/>
        <bgColor rgb="FF008080"/>
      </patternFill>
    </fill>
    <fill>
      <patternFill patternType="solid">
        <fgColor rgb="FFEA580C"/>
        <bgColor rgb="FFDC2626"/>
      </patternFill>
    </fill>
    <fill>
      <patternFill patternType="solid">
        <fgColor rgb="FFFFFF00"/>
        <bgColor rgb="FFFFFF00"/>
      </patternFill>
    </fill>
    <fill>
      <patternFill patternType="solid">
        <fgColor rgb="FFDCFCE7"/>
        <bgColor rgb="FFE0F2FE"/>
      </patternFill>
    </fill>
    <fill>
      <patternFill patternType="solid">
        <fgColor rgb="FFFEE2E2"/>
        <bgColor rgb="FFEDE9FE"/>
      </patternFill>
    </fill>
    <fill>
      <patternFill patternType="solid">
        <fgColor rgb="FF2563EB"/>
        <bgColor rgb="FF0066CC"/>
      </patternFill>
    </fill>
    <fill>
      <patternFill patternType="solid">
        <fgColor rgb="FF64748B"/>
        <bgColor rgb="FF808080"/>
      </patternFill>
    </fill>
    <fill>
      <patternFill patternType="solid">
        <fgColor rgb="FF253555"/>
        <bgColor rgb="FF1A2744"/>
      </patternFill>
    </fill>
    <fill>
      <patternFill patternType="solid">
        <fgColor rgb="FFE0F2FE"/>
        <bgColor rgb="FFDBEAFE"/>
      </patternFill>
    </fill>
    <fill>
      <patternFill patternType="solid">
        <fgColor rgb="FFFEF9C3"/>
        <bgColor rgb="FFF8FAFC"/>
      </patternFill>
    </fill>
    <fill>
      <patternFill patternType="solid">
        <fgColor rgb="FF7C3AED"/>
        <bgColor rgb="FF993366"/>
      </patternFill>
    </fill>
    <fill>
      <patternFill patternType="solid">
        <fgColor rgb="FFEDE9FE"/>
        <bgColor rgb="FFDBEAFE"/>
      </patternFill>
    </fill>
    <fill>
      <patternFill patternType="solid">
        <fgColor rgb="FFDBEAFE"/>
        <bgColor rgb="FFE0F2FE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1A2744"/>
      </left>
      <right/>
      <top style="medium">
        <color rgb="FF1A2744"/>
      </top>
      <bottom style="medium">
        <color rgb="FF1A2744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7" fillId="16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7" fillId="15" borderId="1" xfId="0" applyFont="1" applyFill="1" applyBorder="1" applyAlignment="1">
      <alignment horizontal="left" vertical="center" wrapText="1"/>
    </xf>
    <xf numFmtId="0" fontId="17" fillId="14" borderId="1" xfId="0" applyFont="1" applyFill="1" applyBorder="1" applyAlignment="1">
      <alignment horizontal="left" vertical="center" wrapText="1"/>
    </xf>
    <xf numFmtId="0" fontId="19" fillId="5" borderId="0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9" fillId="1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3" fillId="3" borderId="0" xfId="0" applyFont="1" applyFill="1" applyBorder="1" applyAlignment="1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0" fontId="16" fillId="0" borderId="0" xfId="0" applyFont="1" applyAlignment="1"/>
    <xf numFmtId="0" fontId="20" fillId="1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right" vertical="center"/>
    </xf>
    <xf numFmtId="0" fontId="21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left" vertical="center"/>
    </xf>
    <xf numFmtId="10" fontId="13" fillId="9" borderId="1" xfId="0" applyNumberFormat="1" applyFont="1" applyFill="1" applyBorder="1" applyAlignment="1">
      <alignment horizontal="right" vertical="center"/>
    </xf>
    <xf numFmtId="0" fontId="20" fillId="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165" fontId="6" fillId="14" borderId="1" xfId="0" applyNumberFormat="1" applyFont="1" applyFill="1" applyBorder="1" applyAlignment="1">
      <alignment horizontal="right" vertical="center"/>
    </xf>
    <xf numFmtId="166" fontId="14" fillId="14" borderId="1" xfId="0" applyNumberFormat="1" applyFont="1" applyFill="1" applyBorder="1" applyAlignment="1">
      <alignment horizontal="right" vertical="center"/>
    </xf>
    <xf numFmtId="165" fontId="21" fillId="3" borderId="1" xfId="0" applyNumberFormat="1" applyFont="1" applyFill="1" applyBorder="1" applyAlignment="1">
      <alignment horizontal="right" vertical="center"/>
    </xf>
    <xf numFmtId="166" fontId="21" fillId="3" borderId="1" xfId="0" applyNumberFormat="1" applyFont="1" applyFill="1" applyBorder="1" applyAlignment="1">
      <alignment horizontal="right" vertical="center"/>
    </xf>
    <xf numFmtId="165" fontId="21" fillId="4" borderId="1" xfId="0" applyNumberFormat="1" applyFont="1" applyFill="1" applyBorder="1" applyAlignment="1">
      <alignment horizontal="right" vertical="center"/>
    </xf>
    <xf numFmtId="166" fontId="21" fillId="4" borderId="1" xfId="0" applyNumberFormat="1" applyFont="1" applyFill="1" applyBorder="1" applyAlignment="1">
      <alignment horizontal="right" vertical="center"/>
    </xf>
    <xf numFmtId="0" fontId="8" fillId="15" borderId="1" xfId="0" applyFont="1" applyFill="1" applyBorder="1" applyAlignment="1">
      <alignment horizontal="left" vertical="center"/>
    </xf>
    <xf numFmtId="165" fontId="8" fillId="15" borderId="1" xfId="0" applyNumberFormat="1" applyFont="1" applyFill="1" applyBorder="1" applyAlignment="1">
      <alignment horizontal="right" vertical="center"/>
    </xf>
    <xf numFmtId="166" fontId="14" fillId="15" borderId="1" xfId="0" applyNumberFormat="1" applyFont="1" applyFill="1" applyBorder="1" applyAlignment="1">
      <alignment horizontal="right" vertical="center"/>
    </xf>
    <xf numFmtId="165" fontId="11" fillId="10" borderId="1" xfId="0" applyNumberFormat="1" applyFont="1" applyFill="1" applyBorder="1" applyAlignment="1">
      <alignment horizontal="right" vertical="center"/>
    </xf>
    <xf numFmtId="166" fontId="14" fillId="10" borderId="1" xfId="0" applyNumberFormat="1" applyFont="1" applyFill="1" applyBorder="1" applyAlignment="1">
      <alignment horizontal="right" vertical="center"/>
    </xf>
    <xf numFmtId="0" fontId="22" fillId="16" borderId="1" xfId="0" applyFont="1" applyFill="1" applyBorder="1" applyAlignment="1">
      <alignment horizontal="left" vertical="center"/>
    </xf>
    <xf numFmtId="165" fontId="22" fillId="16" borderId="1" xfId="0" applyNumberFormat="1" applyFont="1" applyFill="1" applyBorder="1" applyAlignment="1">
      <alignment horizontal="right" vertical="center"/>
    </xf>
    <xf numFmtId="166" fontId="21" fillId="16" borderId="1" xfId="0" applyNumberFormat="1" applyFont="1" applyFill="1" applyBorder="1" applyAlignment="1">
      <alignment horizontal="right" vertical="center"/>
    </xf>
    <xf numFmtId="164" fontId="21" fillId="3" borderId="1" xfId="0" applyNumberFormat="1" applyFont="1" applyFill="1" applyBorder="1" applyAlignment="1">
      <alignment horizontal="right" vertical="center"/>
    </xf>
    <xf numFmtId="0" fontId="25" fillId="11" borderId="1" xfId="0" applyFont="1" applyFill="1" applyBorder="1" applyAlignment="1">
      <alignment horizontal="left" vertical="center"/>
    </xf>
    <xf numFmtId="165" fontId="25" fillId="11" borderId="1" xfId="0" applyNumberFormat="1" applyFont="1" applyFill="1" applyBorder="1" applyAlignment="1">
      <alignment horizontal="right" vertical="center"/>
    </xf>
    <xf numFmtId="165" fontId="12" fillId="11" borderId="1" xfId="0" applyNumberFormat="1" applyFont="1" applyFill="1" applyBorder="1" applyAlignment="1">
      <alignment horizontal="right" vertical="center"/>
    </xf>
    <xf numFmtId="3" fontId="21" fillId="3" borderId="1" xfId="0" applyNumberFormat="1" applyFont="1" applyFill="1" applyBorder="1" applyAlignment="1">
      <alignment horizontal="right" vertical="center"/>
    </xf>
    <xf numFmtId="167" fontId="21" fillId="4" borderId="1" xfId="0" applyNumberFormat="1" applyFont="1" applyFill="1" applyBorder="1" applyAlignment="1">
      <alignment horizontal="right" vertical="center"/>
    </xf>
    <xf numFmtId="167" fontId="21" fillId="3" borderId="1" xfId="0" applyNumberFormat="1" applyFont="1" applyFill="1" applyBorder="1" applyAlignment="1">
      <alignment horizontal="right" vertical="center"/>
    </xf>
    <xf numFmtId="0" fontId="20" fillId="17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right" vertical="center"/>
    </xf>
    <xf numFmtId="167" fontId="7" fillId="3" borderId="1" xfId="0" applyNumberFormat="1" applyFont="1" applyFill="1" applyBorder="1" applyAlignment="1">
      <alignment horizontal="right" vertical="center"/>
    </xf>
    <xf numFmtId="166" fontId="7" fillId="3" borderId="1" xfId="0" applyNumberFormat="1" applyFont="1" applyFill="1" applyBorder="1" applyAlignment="1">
      <alignment horizontal="right" vertical="center"/>
    </xf>
    <xf numFmtId="168" fontId="7" fillId="3" borderId="1" xfId="0" applyNumberFormat="1" applyFont="1" applyFill="1" applyBorder="1" applyAlignment="1">
      <alignment horizontal="right" vertical="center"/>
    </xf>
    <xf numFmtId="0" fontId="22" fillId="3" borderId="1" xfId="0" applyFont="1" applyFill="1" applyBorder="1" applyAlignment="1">
      <alignment horizontal="center" vertical="center"/>
    </xf>
    <xf numFmtId="164" fontId="25" fillId="11" borderId="1" xfId="0" applyNumberFormat="1" applyFont="1" applyFill="1" applyBorder="1" applyAlignment="1">
      <alignment horizontal="right" vertical="center"/>
    </xf>
    <xf numFmtId="3" fontId="25" fillId="11" borderId="1" xfId="0" applyNumberFormat="1" applyFont="1" applyFill="1" applyBorder="1" applyAlignment="1">
      <alignment horizontal="right" vertical="center"/>
    </xf>
    <xf numFmtId="167" fontId="25" fillId="11" borderId="1" xfId="0" applyNumberFormat="1" applyFont="1" applyFill="1" applyBorder="1" applyAlignment="1">
      <alignment horizontal="right" vertical="center"/>
    </xf>
    <xf numFmtId="166" fontId="25" fillId="11" borderId="1" xfId="0" applyNumberFormat="1" applyFont="1" applyFill="1" applyBorder="1" applyAlignment="1">
      <alignment horizontal="right" vertical="center"/>
    </xf>
    <xf numFmtId="168" fontId="25" fillId="11" borderId="1" xfId="0" applyNumberFormat="1" applyFont="1" applyFill="1" applyBorder="1" applyAlignment="1">
      <alignment horizontal="right" vertical="center"/>
    </xf>
    <xf numFmtId="0" fontId="25" fillId="11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left" vertical="center"/>
    </xf>
    <xf numFmtId="164" fontId="29" fillId="10" borderId="1" xfId="0" applyNumberFormat="1" applyFont="1" applyFill="1" applyBorder="1" applyAlignment="1">
      <alignment horizontal="right" vertical="center"/>
    </xf>
    <xf numFmtId="3" fontId="29" fillId="10" borderId="1" xfId="0" applyNumberFormat="1" applyFont="1" applyFill="1" applyBorder="1" applyAlignment="1">
      <alignment horizontal="right" vertical="center"/>
    </xf>
    <xf numFmtId="167" fontId="29" fillId="10" borderId="1" xfId="0" applyNumberFormat="1" applyFont="1" applyFill="1" applyBorder="1" applyAlignment="1">
      <alignment horizontal="right" vertical="center"/>
    </xf>
    <xf numFmtId="166" fontId="29" fillId="10" borderId="1" xfId="0" applyNumberFormat="1" applyFont="1" applyFill="1" applyBorder="1" applyAlignment="1">
      <alignment horizontal="right" vertical="center"/>
    </xf>
    <xf numFmtId="168" fontId="29" fillId="10" borderId="1" xfId="0" applyNumberFormat="1" applyFont="1" applyFill="1" applyBorder="1" applyAlignment="1">
      <alignment horizontal="right" vertical="center"/>
    </xf>
    <xf numFmtId="0" fontId="29" fillId="1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167" fontId="6" fillId="2" borderId="1" xfId="0" applyNumberFormat="1" applyFont="1" applyFill="1" applyBorder="1" applyAlignment="1">
      <alignment horizontal="right" vertical="center"/>
    </xf>
    <xf numFmtId="166" fontId="6" fillId="2" borderId="1" xfId="0" applyNumberFormat="1" applyFont="1" applyFill="1" applyBorder="1" applyAlignment="1">
      <alignment horizontal="right" vertical="center"/>
    </xf>
    <xf numFmtId="0" fontId="20" fillId="6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left" vertical="center"/>
    </xf>
    <xf numFmtId="164" fontId="28" fillId="3" borderId="1" xfId="0" applyNumberFormat="1" applyFont="1" applyFill="1" applyBorder="1" applyAlignment="1">
      <alignment horizontal="right" vertical="center"/>
    </xf>
    <xf numFmtId="165" fontId="28" fillId="11" borderId="1" xfId="0" applyNumberFormat="1" applyFont="1" applyFill="1" applyBorder="1" applyAlignment="1">
      <alignment horizontal="right" vertical="center"/>
    </xf>
    <xf numFmtId="165" fontId="28" fillId="3" borderId="1" xfId="0" applyNumberFormat="1" applyFont="1" applyFill="1" applyBorder="1" applyAlignment="1">
      <alignment horizontal="right" vertical="center"/>
    </xf>
    <xf numFmtId="3" fontId="28" fillId="3" borderId="1" xfId="0" applyNumberFormat="1" applyFont="1" applyFill="1" applyBorder="1" applyAlignment="1">
      <alignment horizontal="right" vertical="center"/>
    </xf>
    <xf numFmtId="165" fontId="30" fillId="10" borderId="1" xfId="0" applyNumberFormat="1" applyFont="1" applyFill="1" applyBorder="1" applyAlignment="1">
      <alignment horizontal="right" vertical="center"/>
    </xf>
    <xf numFmtId="166" fontId="28" fillId="10" borderId="1" xfId="0" applyNumberFormat="1" applyFont="1" applyFill="1" applyBorder="1" applyAlignment="1">
      <alignment horizontal="right" vertical="center"/>
    </xf>
    <xf numFmtId="167" fontId="28" fillId="3" borderId="1" xfId="0" applyNumberFormat="1" applyFont="1" applyFill="1" applyBorder="1" applyAlignment="1">
      <alignment horizontal="right" vertical="center"/>
    </xf>
    <xf numFmtId="168" fontId="28" fillId="3" borderId="1" xfId="0" applyNumberFormat="1" applyFont="1" applyFill="1" applyBorder="1" applyAlignment="1">
      <alignment horizontal="right" vertical="center"/>
    </xf>
    <xf numFmtId="10" fontId="28" fillId="3" borderId="1" xfId="0" applyNumberFormat="1" applyFont="1" applyFill="1" applyBorder="1" applyAlignment="1">
      <alignment horizontal="right" vertical="center"/>
    </xf>
    <xf numFmtId="166" fontId="28" fillId="3" borderId="1" xfId="0" applyNumberFormat="1" applyFont="1" applyFill="1" applyBorder="1" applyAlignment="1">
      <alignment horizontal="right" vertical="center"/>
    </xf>
    <xf numFmtId="0" fontId="28" fillId="4" borderId="1" xfId="0" applyFont="1" applyFill="1" applyBorder="1" applyAlignment="1">
      <alignment horizontal="left" vertical="center"/>
    </xf>
    <xf numFmtId="164" fontId="28" fillId="4" borderId="1" xfId="0" applyNumberFormat="1" applyFont="1" applyFill="1" applyBorder="1" applyAlignment="1">
      <alignment horizontal="right" vertical="center"/>
    </xf>
    <xf numFmtId="165" fontId="28" fillId="4" borderId="1" xfId="0" applyNumberFormat="1" applyFont="1" applyFill="1" applyBorder="1" applyAlignment="1">
      <alignment horizontal="right" vertical="center"/>
    </xf>
    <xf numFmtId="3" fontId="28" fillId="4" borderId="1" xfId="0" applyNumberFormat="1" applyFont="1" applyFill="1" applyBorder="1" applyAlignment="1">
      <alignment horizontal="right" vertical="center"/>
    </xf>
    <xf numFmtId="165" fontId="30" fillId="4" borderId="1" xfId="0" applyNumberFormat="1" applyFont="1" applyFill="1" applyBorder="1" applyAlignment="1">
      <alignment horizontal="right" vertical="center"/>
    </xf>
    <xf numFmtId="166" fontId="28" fillId="4" borderId="1" xfId="0" applyNumberFormat="1" applyFont="1" applyFill="1" applyBorder="1" applyAlignment="1">
      <alignment horizontal="right" vertical="center"/>
    </xf>
    <xf numFmtId="167" fontId="28" fillId="4" borderId="1" xfId="0" applyNumberFormat="1" applyFont="1" applyFill="1" applyBorder="1" applyAlignment="1">
      <alignment horizontal="right" vertical="center"/>
    </xf>
    <xf numFmtId="168" fontId="28" fillId="4" borderId="1" xfId="0" applyNumberFormat="1" applyFont="1" applyFill="1" applyBorder="1" applyAlignment="1">
      <alignment horizontal="right" vertical="center"/>
    </xf>
    <xf numFmtId="10" fontId="28" fillId="4" borderId="1" xfId="0" applyNumberFormat="1" applyFont="1" applyFill="1" applyBorder="1" applyAlignment="1">
      <alignment horizontal="right" vertical="center"/>
    </xf>
    <xf numFmtId="164" fontId="28" fillId="18" borderId="1" xfId="0" applyNumberFormat="1" applyFont="1" applyFill="1" applyBorder="1" applyAlignment="1">
      <alignment horizontal="right" vertical="center"/>
    </xf>
    <xf numFmtId="165" fontId="31" fillId="11" borderId="1" xfId="0" applyNumberFormat="1" applyFont="1" applyFill="1" applyBorder="1" applyAlignment="1">
      <alignment horizontal="right" vertical="center"/>
    </xf>
    <xf numFmtId="166" fontId="28" fillId="11" borderId="1" xfId="0" applyNumberFormat="1" applyFont="1" applyFill="1" applyBorder="1" applyAlignment="1">
      <alignment horizontal="right" vertical="center"/>
    </xf>
    <xf numFmtId="165" fontId="30" fillId="3" borderId="1" xfId="0" applyNumberFormat="1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>
      <alignment horizontal="right" vertical="center"/>
    </xf>
    <xf numFmtId="165" fontId="6" fillId="2" borderId="1" xfId="0" applyNumberFormat="1" applyFont="1" applyFill="1" applyBorder="1" applyAlignment="1">
      <alignment horizontal="right" vertical="center"/>
    </xf>
    <xf numFmtId="3" fontId="35" fillId="9" borderId="1" xfId="0" applyNumberFormat="1" applyFont="1" applyFill="1" applyBorder="1" applyAlignment="1">
      <alignment horizontal="right" vertical="center"/>
    </xf>
    <xf numFmtId="166" fontId="35" fillId="9" borderId="1" xfId="0" applyNumberFormat="1" applyFont="1" applyFill="1" applyBorder="1" applyAlignment="1">
      <alignment horizontal="right" vertical="center"/>
    </xf>
    <xf numFmtId="10" fontId="35" fillId="9" borderId="1" xfId="0" applyNumberFormat="1" applyFont="1" applyFill="1" applyBorder="1" applyAlignment="1">
      <alignment horizontal="right" vertical="center"/>
    </xf>
    <xf numFmtId="167" fontId="35" fillId="9" borderId="1" xfId="0" applyNumberFormat="1" applyFont="1" applyFill="1" applyBorder="1" applyAlignment="1">
      <alignment horizontal="right" vertical="center"/>
    </xf>
    <xf numFmtId="164" fontId="35" fillId="9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 wrapText="1"/>
    </xf>
    <xf numFmtId="3" fontId="38" fillId="4" borderId="1" xfId="0" applyNumberFormat="1" applyFont="1" applyFill="1" applyBorder="1" applyAlignment="1">
      <alignment horizontal="right" vertical="center"/>
    </xf>
    <xf numFmtId="3" fontId="21" fillId="4" borderId="1" xfId="0" applyNumberFormat="1" applyFont="1" applyFill="1" applyBorder="1" applyAlignment="1">
      <alignment horizontal="right" vertical="center"/>
    </xf>
    <xf numFmtId="3" fontId="39" fillId="3" borderId="1" xfId="0" applyNumberFormat="1" applyFont="1" applyFill="1" applyBorder="1" applyAlignment="1">
      <alignment horizontal="right" vertical="center"/>
    </xf>
    <xf numFmtId="0" fontId="39" fillId="3" borderId="1" xfId="0" applyFont="1" applyFill="1" applyBorder="1" applyAlignment="1">
      <alignment horizontal="right" vertical="center"/>
    </xf>
    <xf numFmtId="10" fontId="38" fillId="4" borderId="1" xfId="0" applyNumberFormat="1" applyFont="1" applyFill="1" applyBorder="1" applyAlignment="1">
      <alignment horizontal="right" vertical="center"/>
    </xf>
    <xf numFmtId="10" fontId="21" fillId="4" borderId="1" xfId="0" applyNumberFormat="1" applyFont="1" applyFill="1" applyBorder="1" applyAlignment="1">
      <alignment horizontal="right" vertical="center"/>
    </xf>
    <xf numFmtId="10" fontId="39" fillId="3" borderId="1" xfId="0" applyNumberFormat="1" applyFont="1" applyFill="1" applyBorder="1" applyAlignment="1">
      <alignment horizontal="right" vertical="center"/>
    </xf>
    <xf numFmtId="167" fontId="38" fillId="4" borderId="1" xfId="0" applyNumberFormat="1" applyFont="1" applyFill="1" applyBorder="1" applyAlignment="1">
      <alignment horizontal="right" vertical="center"/>
    </xf>
    <xf numFmtId="167" fontId="39" fillId="3" borderId="1" xfId="0" applyNumberFormat="1" applyFont="1" applyFill="1" applyBorder="1" applyAlignment="1">
      <alignment horizontal="right" vertical="center"/>
    </xf>
    <xf numFmtId="0" fontId="8" fillId="19" borderId="1" xfId="0" applyFont="1" applyFill="1" applyBorder="1" applyAlignment="1">
      <alignment horizontal="left" vertical="center"/>
    </xf>
    <xf numFmtId="164" fontId="14" fillId="19" borderId="1" xfId="0" applyNumberFormat="1" applyFont="1" applyFill="1" applyBorder="1" applyAlignment="1">
      <alignment horizontal="right" vertical="center"/>
    </xf>
    <xf numFmtId="164" fontId="8" fillId="19" borderId="1" xfId="0" applyNumberFormat="1" applyFont="1" applyFill="1" applyBorder="1" applyAlignment="1">
      <alignment horizontal="right" vertical="center"/>
    </xf>
    <xf numFmtId="164" fontId="40" fillId="3" borderId="1" xfId="0" applyNumberFormat="1" applyFont="1" applyFill="1" applyBorder="1" applyAlignment="1">
      <alignment horizontal="right" vertical="center"/>
    </xf>
    <xf numFmtId="165" fontId="39" fillId="3" borderId="1" xfId="0" applyNumberFormat="1" applyFont="1" applyFill="1" applyBorder="1" applyAlignment="1">
      <alignment horizontal="right" vertical="center"/>
    </xf>
    <xf numFmtId="0" fontId="41" fillId="16" borderId="1" xfId="0" applyFont="1" applyFill="1" applyBorder="1" applyAlignment="1">
      <alignment horizontal="left" vertical="center"/>
    </xf>
    <xf numFmtId="166" fontId="42" fillId="16" borderId="1" xfId="0" applyNumberFormat="1" applyFont="1" applyFill="1" applyBorder="1" applyAlignment="1">
      <alignment horizontal="right" vertical="center"/>
    </xf>
    <xf numFmtId="166" fontId="41" fillId="16" borderId="1" xfId="0" applyNumberFormat="1" applyFont="1" applyFill="1" applyBorder="1" applyAlignment="1">
      <alignment horizontal="right" vertical="center"/>
    </xf>
    <xf numFmtId="166" fontId="43" fillId="3" borderId="1" xfId="0" applyNumberFormat="1" applyFont="1" applyFill="1" applyBorder="1" applyAlignment="1">
      <alignment horizontal="right" vertical="center"/>
    </xf>
    <xf numFmtId="164" fontId="39" fillId="3" borderId="1" xfId="0" applyNumberFormat="1" applyFont="1" applyFill="1" applyBorder="1" applyAlignment="1">
      <alignment horizontal="right" vertical="center"/>
    </xf>
    <xf numFmtId="164" fontId="21" fillId="4" borderId="1" xfId="0" applyNumberFormat="1" applyFont="1" applyFill="1" applyBorder="1" applyAlignment="1">
      <alignment horizontal="right" vertical="center"/>
    </xf>
    <xf numFmtId="168" fontId="28" fillId="16" borderId="1" xfId="0" applyNumberFormat="1" applyFont="1" applyFill="1" applyBorder="1" applyAlignment="1">
      <alignment horizontal="right" vertical="center"/>
    </xf>
    <xf numFmtId="168" fontId="41" fillId="16" borderId="1" xfId="0" applyNumberFormat="1" applyFont="1" applyFill="1" applyBorder="1" applyAlignment="1">
      <alignment horizontal="right" vertical="center"/>
    </xf>
    <xf numFmtId="168" fontId="43" fillId="3" borderId="1" xfId="0" applyNumberFormat="1" applyFont="1" applyFill="1" applyBorder="1" applyAlignment="1">
      <alignment horizontal="right" vertical="center"/>
    </xf>
    <xf numFmtId="0" fontId="44" fillId="10" borderId="1" xfId="0" applyFont="1" applyFill="1" applyBorder="1" applyAlignment="1">
      <alignment horizontal="left" vertical="center"/>
    </xf>
    <xf numFmtId="164" fontId="45" fillId="10" borderId="1" xfId="0" applyNumberFormat="1" applyFont="1" applyFill="1" applyBorder="1" applyAlignment="1">
      <alignment horizontal="right" vertical="center"/>
    </xf>
    <xf numFmtId="164" fontId="44" fillId="10" borderId="1" xfId="0" applyNumberFormat="1" applyFont="1" applyFill="1" applyBorder="1" applyAlignment="1">
      <alignment horizontal="right" vertical="center"/>
    </xf>
    <xf numFmtId="164" fontId="46" fillId="3" borderId="1" xfId="0" applyNumberFormat="1" applyFont="1" applyFill="1" applyBorder="1" applyAlignment="1">
      <alignment horizontal="right" vertical="center"/>
    </xf>
    <xf numFmtId="166" fontId="45" fillId="10" borderId="1" xfId="0" applyNumberFormat="1" applyFont="1" applyFill="1" applyBorder="1" applyAlignment="1">
      <alignment horizontal="right" vertical="center"/>
    </xf>
    <xf numFmtId="166" fontId="44" fillId="10" borderId="1" xfId="0" applyNumberFormat="1" applyFont="1" applyFill="1" applyBorder="1" applyAlignment="1">
      <alignment horizontal="right" vertical="center"/>
    </xf>
    <xf numFmtId="166" fontId="46" fillId="3" borderId="1" xfId="0" applyNumberFormat="1" applyFont="1" applyFill="1" applyBorder="1" applyAlignment="1">
      <alignment horizontal="right" vertical="center"/>
    </xf>
    <xf numFmtId="164" fontId="28" fillId="16" borderId="1" xfId="0" applyNumberFormat="1" applyFont="1" applyFill="1" applyBorder="1" applyAlignment="1">
      <alignment horizontal="right" vertical="center"/>
    </xf>
    <xf numFmtId="164" fontId="41" fillId="16" borderId="1" xfId="0" applyNumberFormat="1" applyFont="1" applyFill="1" applyBorder="1" applyAlignment="1">
      <alignment horizontal="right" vertical="center"/>
    </xf>
    <xf numFmtId="164" fontId="43" fillId="3" borderId="1" xfId="0" applyNumberFormat="1" applyFont="1" applyFill="1" applyBorder="1" applyAlignment="1">
      <alignment horizontal="right" vertical="center"/>
    </xf>
    <xf numFmtId="166" fontId="28" fillId="16" borderId="1" xfId="0" applyNumberFormat="1" applyFont="1" applyFill="1" applyBorder="1" applyAlignment="1">
      <alignment horizontal="right" vertical="center"/>
    </xf>
    <xf numFmtId="0" fontId="28" fillId="16" borderId="1" xfId="0" applyFont="1" applyFill="1" applyBorder="1" applyAlignment="1">
      <alignment horizontal="right" vertical="center"/>
    </xf>
    <xf numFmtId="0" fontId="41" fillId="16" borderId="1" xfId="0" applyFont="1" applyFill="1" applyBorder="1" applyAlignment="1">
      <alignment horizontal="right" vertical="center"/>
    </xf>
    <xf numFmtId="0" fontId="43" fillId="3" borderId="1" xfId="0" applyFont="1" applyFill="1" applyBorder="1" applyAlignment="1">
      <alignment horizontal="right" vertical="center"/>
    </xf>
    <xf numFmtId="0" fontId="23" fillId="10" borderId="2" xfId="0" applyFont="1" applyFill="1" applyBorder="1" applyAlignment="1">
      <alignment horizontal="center" vertical="center"/>
    </xf>
    <xf numFmtId="0" fontId="24" fillId="11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left" vertical="center"/>
    </xf>
    <xf numFmtId="0" fontId="26" fillId="4" borderId="1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left" vertical="center" wrapText="1"/>
    </xf>
    <xf numFmtId="0" fontId="28" fillId="4" borderId="1" xfId="0" applyFont="1" applyFill="1" applyBorder="1" applyAlignment="1">
      <alignment horizontal="left" vertical="center" wrapText="1"/>
    </xf>
    <xf numFmtId="0" fontId="19" fillId="17" borderId="0" xfId="0" applyFont="1" applyFill="1" applyBorder="1" applyAlignment="1">
      <alignment horizontal="left" vertical="center"/>
    </xf>
    <xf numFmtId="0" fontId="19" fillId="13" borderId="0" xfId="0" applyFont="1" applyFill="1" applyBorder="1" applyAlignment="1">
      <alignment horizontal="left" vertical="center"/>
    </xf>
    <xf numFmtId="0" fontId="30" fillId="3" borderId="1" xfId="0" applyFont="1" applyFill="1" applyBorder="1" applyAlignment="1">
      <alignment horizontal="left" vertical="center" wrapText="1"/>
    </xf>
    <xf numFmtId="0" fontId="30" fillId="4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left" vertical="center" wrapText="1"/>
    </xf>
    <xf numFmtId="0" fontId="28" fillId="3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left" vertical="center" wrapText="1"/>
    </xf>
    <xf numFmtId="0" fontId="33" fillId="6" borderId="0" xfId="0" applyFont="1" applyFill="1" applyBorder="1" applyAlignment="1">
      <alignment horizontal="left" vertical="center"/>
    </xf>
    <xf numFmtId="0" fontId="34" fillId="8" borderId="0" xfId="0" applyFont="1" applyFill="1" applyBorder="1" applyAlignment="1">
      <alignment horizontal="left" vertical="center"/>
    </xf>
    <xf numFmtId="0" fontId="19" fillId="8" borderId="0" xfId="0" applyFont="1" applyFill="1" applyBorder="1" applyAlignment="1">
      <alignment horizontal="left" vertical="center"/>
    </xf>
    <xf numFmtId="0" fontId="36" fillId="9" borderId="3" xfId="0" applyFont="1" applyFill="1" applyBorder="1" applyAlignment="1">
      <alignment horizontal="left" vertical="center" wrapText="1"/>
    </xf>
    <xf numFmtId="0" fontId="34" fillId="7" borderId="0" xfId="0" applyFont="1" applyFill="1" applyBorder="1" applyAlignment="1">
      <alignment horizontal="left" vertical="center"/>
    </xf>
    <xf numFmtId="0" fontId="19" fillId="14" borderId="0" xfId="0" applyFont="1" applyFill="1" applyBorder="1" applyAlignment="1">
      <alignment horizontal="left" vertical="center"/>
    </xf>
    <xf numFmtId="0" fontId="11" fillId="10" borderId="4" xfId="0" applyFont="1" applyFill="1" applyBorder="1" applyAlignment="1">
      <alignment horizontal="left" vertical="center" wrapText="1"/>
    </xf>
    <xf numFmtId="0" fontId="21" fillId="4" borderId="4" xfId="0" applyFont="1" applyFill="1" applyBorder="1" applyAlignment="1">
      <alignment horizontal="left" vertical="center" wrapText="1"/>
    </xf>
    <xf numFmtId="0" fontId="47" fillId="3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21" fillId="3" borderId="4" xfId="0" applyFont="1" applyFill="1" applyBorder="1" applyAlignment="1">
      <alignment horizontal="left" vertical="center" wrapText="1"/>
    </xf>
    <xf numFmtId="0" fontId="47" fillId="4" borderId="4" xfId="0" applyFont="1" applyFill="1" applyBorder="1" applyAlignment="1">
      <alignment horizontal="left" vertical="center" wrapText="1"/>
    </xf>
    <xf numFmtId="0" fontId="29" fillId="3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25" fillId="4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9FE"/>
      <rgbColor rgb="FF808080"/>
      <rgbColor rgb="FF9999FF"/>
      <rgbColor rgb="FF7C3AED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E0F2FE"/>
      <rgbColor rgb="FFDBEAFE"/>
      <rgbColor rgb="FFF8FAFC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EA580C"/>
      <rgbColor rgb="FF64748B"/>
      <rgbColor rgb="FF94A3B8"/>
      <rgbColor rgb="FF1A2744"/>
      <rgbColor rgb="FF16A34A"/>
      <rgbColor rgb="FF003300"/>
      <rgbColor rgb="FF333300"/>
      <rgbColor rgb="FF993300"/>
      <rgbColor rgb="FF993366"/>
      <rgbColor rgb="FF333399"/>
      <rgbColor rgb="FF253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744"/>
  </sheetPr>
  <dimension ref="A1:K44"/>
  <sheetViews>
    <sheetView showGridLines="0" zoomScaleNormal="100" workbookViewId="0"/>
  </sheetViews>
  <sheetFormatPr defaultColWidth="8.6640625" defaultRowHeight="14.4" x14ac:dyDescent="0.3"/>
  <cols>
    <col min="1" max="1" width="4" style="15" customWidth="1"/>
    <col min="2" max="2" width="32" style="15" customWidth="1"/>
    <col min="3" max="11" width="18" style="15" customWidth="1"/>
  </cols>
  <sheetData>
    <row r="1" spans="2:10" ht="19.5" customHeight="1" x14ac:dyDescent="0.3"/>
    <row r="2" spans="2:10" ht="48" customHeight="1" x14ac:dyDescent="0.3">
      <c r="B2" s="14" t="s">
        <v>0</v>
      </c>
      <c r="C2" s="14"/>
      <c r="D2" s="14"/>
      <c r="E2" s="14"/>
      <c r="F2" s="14"/>
      <c r="G2" s="14"/>
      <c r="H2" s="14"/>
      <c r="I2" s="14"/>
      <c r="J2" s="14"/>
    </row>
    <row r="3" spans="2:10" ht="25.5" customHeight="1" x14ac:dyDescent="0.3">
      <c r="B3" s="13" t="s">
        <v>1</v>
      </c>
      <c r="C3" s="13"/>
      <c r="D3" s="13"/>
      <c r="E3" s="13"/>
      <c r="F3" s="13"/>
      <c r="G3" s="13"/>
      <c r="H3" s="13"/>
      <c r="I3" s="13"/>
      <c r="J3" s="13"/>
    </row>
    <row r="4" spans="2:10" ht="19.5" customHeight="1" x14ac:dyDescent="0.3"/>
    <row r="5" spans="2:10" ht="19.5" customHeight="1" x14ac:dyDescent="0.3">
      <c r="B5" s="12" t="s">
        <v>2</v>
      </c>
      <c r="C5" s="12"/>
      <c r="D5" s="12"/>
      <c r="E5" s="12" t="s">
        <v>3</v>
      </c>
      <c r="F5" s="12"/>
      <c r="G5" s="12"/>
      <c r="H5" s="12"/>
      <c r="I5" s="12"/>
      <c r="J5" s="12"/>
    </row>
    <row r="6" spans="2:10" ht="21.75" customHeight="1" x14ac:dyDescent="0.3">
      <c r="B6" s="16" t="s">
        <v>4</v>
      </c>
      <c r="C6" s="17" t="s">
        <v>5</v>
      </c>
      <c r="E6" s="18" t="s">
        <v>6</v>
      </c>
      <c r="F6" s="11" t="s">
        <v>7</v>
      </c>
      <c r="G6" s="11"/>
      <c r="H6" s="11"/>
      <c r="I6" s="11"/>
      <c r="J6" s="11"/>
    </row>
    <row r="7" spans="2:10" ht="21.75" customHeight="1" x14ac:dyDescent="0.3">
      <c r="B7" s="16" t="s">
        <v>8</v>
      </c>
      <c r="C7" s="20" t="s">
        <v>9</v>
      </c>
      <c r="E7" s="21" t="s">
        <v>10</v>
      </c>
      <c r="F7" s="11" t="s">
        <v>11</v>
      </c>
      <c r="G7" s="11"/>
      <c r="H7" s="11"/>
      <c r="I7" s="11"/>
      <c r="J7" s="11"/>
    </row>
    <row r="8" spans="2:10" ht="21.75" customHeight="1" x14ac:dyDescent="0.3">
      <c r="B8" s="16" t="s">
        <v>12</v>
      </c>
      <c r="C8" s="22" t="s">
        <v>13</v>
      </c>
      <c r="E8" s="23" t="s">
        <v>14</v>
      </c>
      <c r="F8" s="11" t="s">
        <v>15</v>
      </c>
      <c r="G8" s="11"/>
      <c r="H8" s="11"/>
      <c r="I8" s="11"/>
      <c r="J8" s="11"/>
    </row>
    <row r="9" spans="2:10" ht="21.75" customHeight="1" x14ac:dyDescent="0.3">
      <c r="B9" s="16" t="s">
        <v>16</v>
      </c>
      <c r="C9" s="22" t="s">
        <v>17</v>
      </c>
      <c r="E9" s="24" t="s">
        <v>18</v>
      </c>
      <c r="F9" s="11" t="s">
        <v>19</v>
      </c>
      <c r="G9" s="11"/>
      <c r="H9" s="11"/>
      <c r="I9" s="11"/>
      <c r="J9" s="11"/>
    </row>
    <row r="10" spans="2:10" ht="21.75" customHeight="1" x14ac:dyDescent="0.3">
      <c r="B10" s="16" t="s">
        <v>20</v>
      </c>
      <c r="C10" s="25" t="s">
        <v>21</v>
      </c>
      <c r="E10" s="26" t="s">
        <v>22</v>
      </c>
      <c r="F10" s="11" t="s">
        <v>23</v>
      </c>
      <c r="G10" s="11"/>
      <c r="H10" s="11"/>
      <c r="I10" s="11"/>
      <c r="J10" s="11"/>
    </row>
    <row r="11" spans="2:10" ht="21.75" customHeight="1" x14ac:dyDescent="0.3">
      <c r="B11" s="16" t="s">
        <v>24</v>
      </c>
      <c r="C11" s="25" t="s">
        <v>25</v>
      </c>
    </row>
    <row r="12" spans="2:10" ht="21.75" customHeight="1" x14ac:dyDescent="0.3">
      <c r="B12" s="16" t="s">
        <v>26</v>
      </c>
      <c r="C12" s="22" t="s">
        <v>27</v>
      </c>
    </row>
    <row r="13" spans="2:10" ht="21.75" customHeight="1" x14ac:dyDescent="0.3">
      <c r="B13" s="16" t="s">
        <v>28</v>
      </c>
      <c r="C13" s="27" t="s">
        <v>29</v>
      </c>
    </row>
    <row r="14" spans="2:10" ht="21.75" customHeight="1" x14ac:dyDescent="0.3">
      <c r="B14" s="16" t="s">
        <v>30</v>
      </c>
      <c r="C14" s="28" t="s">
        <v>31</v>
      </c>
    </row>
    <row r="15" spans="2:10" ht="21.75" customHeight="1" x14ac:dyDescent="0.3">
      <c r="B15" s="16" t="s">
        <v>32</v>
      </c>
      <c r="C15" s="28" t="s">
        <v>33</v>
      </c>
    </row>
    <row r="16" spans="2:10" ht="21.75" customHeight="1" x14ac:dyDescent="0.3">
      <c r="B16" s="16" t="s">
        <v>34</v>
      </c>
      <c r="C16" s="29" t="s">
        <v>35</v>
      </c>
    </row>
    <row r="17" spans="2:10" ht="21.75" customHeight="1" x14ac:dyDescent="0.3">
      <c r="B17" s="16" t="s">
        <v>36</v>
      </c>
      <c r="C17" s="29" t="s">
        <v>37</v>
      </c>
    </row>
    <row r="18" spans="2:10" ht="19.5" customHeight="1" x14ac:dyDescent="0.3"/>
    <row r="19" spans="2:10" ht="19.5" customHeight="1" x14ac:dyDescent="0.3"/>
    <row r="20" spans="2:10" ht="19.5" customHeight="1" x14ac:dyDescent="0.3">
      <c r="B20" s="12" t="s">
        <v>38</v>
      </c>
      <c r="C20" s="12"/>
      <c r="D20" s="12"/>
      <c r="E20" s="12"/>
      <c r="F20" s="12"/>
      <c r="G20" s="12"/>
      <c r="H20" s="12"/>
      <c r="I20" s="12"/>
      <c r="J20" s="12"/>
    </row>
    <row r="21" spans="2:10" ht="19.5" customHeight="1" x14ac:dyDescent="0.3">
      <c r="B21" s="30" t="s">
        <v>39</v>
      </c>
      <c r="C21" s="11" t="s">
        <v>40</v>
      </c>
      <c r="D21" s="11"/>
      <c r="E21" s="11"/>
      <c r="F21" s="11"/>
    </row>
    <row r="22" spans="2:10" ht="19.5" customHeight="1" x14ac:dyDescent="0.3">
      <c r="B22" s="31" t="s">
        <v>41</v>
      </c>
      <c r="C22" s="11" t="s">
        <v>42</v>
      </c>
      <c r="D22" s="11"/>
      <c r="E22" s="11"/>
      <c r="F22" s="11"/>
    </row>
    <row r="23" spans="2:10" ht="19.5" customHeight="1" x14ac:dyDescent="0.3">
      <c r="B23" s="32" t="s">
        <v>43</v>
      </c>
      <c r="C23" s="11" t="s">
        <v>44</v>
      </c>
      <c r="D23" s="11"/>
      <c r="E23" s="11"/>
      <c r="F23" s="11"/>
    </row>
    <row r="24" spans="2:10" ht="19.5" customHeight="1" x14ac:dyDescent="0.3">
      <c r="B24" s="33" t="s">
        <v>45</v>
      </c>
      <c r="C24" s="11" t="s">
        <v>46</v>
      </c>
      <c r="D24" s="11"/>
      <c r="E24" s="11"/>
      <c r="F24" s="11"/>
    </row>
    <row r="25" spans="2:10" ht="19.5" customHeight="1" x14ac:dyDescent="0.3">
      <c r="B25" s="34" t="s">
        <v>47</v>
      </c>
      <c r="C25" s="11" t="s">
        <v>48</v>
      </c>
      <c r="D25" s="11"/>
      <c r="E25" s="11"/>
      <c r="F25" s="11"/>
    </row>
    <row r="26" spans="2:10" ht="19.5" customHeight="1" x14ac:dyDescent="0.3">
      <c r="B26" s="35" t="s">
        <v>49</v>
      </c>
      <c r="C26" s="11" t="s">
        <v>50</v>
      </c>
      <c r="D26" s="11"/>
      <c r="E26" s="11"/>
      <c r="F26" s="11"/>
    </row>
    <row r="27" spans="2:10" ht="19.5" customHeight="1" x14ac:dyDescent="0.3"/>
    <row r="28" spans="2:10" ht="19.5" customHeight="1" x14ac:dyDescent="0.3"/>
    <row r="29" spans="2:10" ht="19.5" customHeight="1" x14ac:dyDescent="0.3"/>
    <row r="30" spans="2:10" ht="19.5" customHeight="1" x14ac:dyDescent="0.3">
      <c r="B30" s="36" t="s">
        <v>51</v>
      </c>
    </row>
    <row r="31" spans="2:10" ht="15.75" customHeight="1" x14ac:dyDescent="0.3">
      <c r="B31" s="10" t="s">
        <v>52</v>
      </c>
      <c r="C31" s="10"/>
      <c r="D31" s="10"/>
      <c r="E31" s="10"/>
      <c r="F31" s="10"/>
      <c r="G31" s="10"/>
      <c r="H31" s="10"/>
      <c r="I31" s="10"/>
      <c r="J31" s="10"/>
    </row>
    <row r="32" spans="2:10" ht="15.75" customHeight="1" x14ac:dyDescent="0.3">
      <c r="B32" s="10" t="s">
        <v>53</v>
      </c>
      <c r="C32" s="10"/>
      <c r="D32" s="10"/>
      <c r="E32" s="10"/>
      <c r="F32" s="10"/>
      <c r="G32" s="10"/>
      <c r="H32" s="10"/>
      <c r="I32" s="10"/>
      <c r="J32" s="10"/>
    </row>
    <row r="33" spans="2:10" ht="15.75" customHeight="1" x14ac:dyDescent="0.3">
      <c r="B33" s="10" t="s">
        <v>54</v>
      </c>
      <c r="C33" s="10"/>
      <c r="D33" s="10"/>
      <c r="E33" s="10"/>
      <c r="F33" s="10"/>
      <c r="G33" s="10"/>
      <c r="H33" s="10"/>
      <c r="I33" s="10"/>
      <c r="J33" s="10"/>
    </row>
    <row r="34" spans="2:10" ht="15.75" customHeight="1" x14ac:dyDescent="0.3">
      <c r="B34" s="10" t="s">
        <v>55</v>
      </c>
      <c r="C34" s="10"/>
      <c r="D34" s="10"/>
      <c r="E34" s="10"/>
      <c r="F34" s="10"/>
      <c r="G34" s="10"/>
      <c r="H34" s="10"/>
      <c r="I34" s="10"/>
      <c r="J34" s="10"/>
    </row>
    <row r="35" spans="2:10" ht="15.75" customHeight="1" x14ac:dyDescent="0.3">
      <c r="B35" s="10" t="s">
        <v>56</v>
      </c>
      <c r="C35" s="10"/>
      <c r="D35" s="10"/>
      <c r="E35" s="10"/>
      <c r="F35" s="10"/>
      <c r="G35" s="10"/>
      <c r="H35" s="10"/>
      <c r="I35" s="10"/>
      <c r="J35" s="10"/>
    </row>
    <row r="36" spans="2:10" ht="15.75" customHeight="1" x14ac:dyDescent="0.3">
      <c r="B36" s="10" t="s">
        <v>57</v>
      </c>
      <c r="C36" s="10"/>
      <c r="D36" s="10"/>
      <c r="E36" s="10"/>
      <c r="F36" s="10"/>
      <c r="G36" s="10"/>
      <c r="H36" s="10"/>
      <c r="I36" s="10"/>
      <c r="J36" s="10"/>
    </row>
    <row r="37" spans="2:10" ht="15.75" customHeight="1" x14ac:dyDescent="0.3">
      <c r="B37" s="10" t="s">
        <v>58</v>
      </c>
      <c r="C37" s="10"/>
      <c r="D37" s="10"/>
      <c r="E37" s="10"/>
      <c r="F37" s="10"/>
      <c r="G37" s="10"/>
      <c r="H37" s="10"/>
      <c r="I37" s="10"/>
      <c r="J37" s="10"/>
    </row>
    <row r="38" spans="2:10" ht="19.5" customHeight="1" x14ac:dyDescent="0.3"/>
    <row r="39" spans="2:10" ht="19.5" customHeight="1" x14ac:dyDescent="0.3"/>
    <row r="40" spans="2:10" ht="19.5" customHeight="1" x14ac:dyDescent="0.3"/>
    <row r="41" spans="2:10" ht="19.5" customHeight="1" x14ac:dyDescent="0.3"/>
    <row r="42" spans="2:10" ht="19.5" customHeight="1" x14ac:dyDescent="0.3"/>
    <row r="43" spans="2:10" ht="19.5" customHeight="1" x14ac:dyDescent="0.3"/>
    <row r="44" spans="2:10" ht="19.5" customHeight="1" x14ac:dyDescent="0.3"/>
  </sheetData>
  <mergeCells count="23">
    <mergeCell ref="B35:J35"/>
    <mergeCell ref="B36:J36"/>
    <mergeCell ref="B37:J37"/>
    <mergeCell ref="C26:F26"/>
    <mergeCell ref="B31:J31"/>
    <mergeCell ref="B32:J32"/>
    <mergeCell ref="B33:J33"/>
    <mergeCell ref="B34:J34"/>
    <mergeCell ref="C21:F21"/>
    <mergeCell ref="C22:F22"/>
    <mergeCell ref="C23:F23"/>
    <mergeCell ref="C24:F24"/>
    <mergeCell ref="C25:F25"/>
    <mergeCell ref="F7:J7"/>
    <mergeCell ref="F8:J8"/>
    <mergeCell ref="F9:J9"/>
    <mergeCell ref="F10:J10"/>
    <mergeCell ref="B20:J20"/>
    <mergeCell ref="B2:J2"/>
    <mergeCell ref="B3:J3"/>
    <mergeCell ref="B5:D5"/>
    <mergeCell ref="E5:J5"/>
    <mergeCell ref="F6:J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C2626"/>
  </sheetPr>
  <dimension ref="A1:K67"/>
  <sheetViews>
    <sheetView showGridLines="0" topLeftCell="A45" zoomScaleNormal="100" workbookViewId="0"/>
  </sheetViews>
  <sheetFormatPr defaultColWidth="8.6640625" defaultRowHeight="14.4" x14ac:dyDescent="0.3"/>
  <cols>
    <col min="1" max="1" width="3" style="15" customWidth="1"/>
    <col min="2" max="2" width="30" style="15" customWidth="1"/>
    <col min="3" max="3" width="18" style="15" customWidth="1"/>
    <col min="4" max="10" width="14" style="15" customWidth="1"/>
    <col min="11" max="11" width="13.88671875" customWidth="1"/>
  </cols>
  <sheetData>
    <row r="1" spans="2:10" ht="30" customHeight="1" x14ac:dyDescent="0.3">
      <c r="B1" s="9" t="s">
        <v>59</v>
      </c>
      <c r="C1" s="9"/>
      <c r="D1" s="9"/>
      <c r="E1" s="9"/>
      <c r="F1" s="9"/>
      <c r="G1" s="9"/>
      <c r="H1" s="9"/>
      <c r="I1" s="9"/>
      <c r="J1" s="9"/>
    </row>
    <row r="3" spans="2:10" ht="24" customHeight="1" x14ac:dyDescent="0.3">
      <c r="B3" s="8" t="s">
        <v>60</v>
      </c>
      <c r="C3" s="8"/>
      <c r="D3" s="8"/>
      <c r="E3" s="8"/>
      <c r="F3" s="8"/>
      <c r="G3" s="8"/>
      <c r="H3" s="8"/>
      <c r="I3" s="8"/>
      <c r="J3" s="8"/>
    </row>
    <row r="4" spans="2:10" ht="18" customHeight="1" x14ac:dyDescent="0.3">
      <c r="B4" s="37" t="s">
        <v>61</v>
      </c>
      <c r="C4" s="37" t="s">
        <v>62</v>
      </c>
      <c r="D4" s="37" t="s">
        <v>63</v>
      </c>
    </row>
    <row r="5" spans="2:10" ht="18" customHeight="1" x14ac:dyDescent="0.3">
      <c r="B5" s="38" t="s">
        <v>64</v>
      </c>
      <c r="C5" s="39">
        <v>3226514.54</v>
      </c>
      <c r="D5" s="7" t="s">
        <v>65</v>
      </c>
      <c r="E5" s="7"/>
      <c r="F5" s="7"/>
      <c r="G5" s="7"/>
      <c r="H5" s="7"/>
      <c r="I5" s="7"/>
      <c r="J5" s="7"/>
    </row>
    <row r="6" spans="2:10" ht="18" customHeight="1" x14ac:dyDescent="0.3">
      <c r="B6" s="40" t="s">
        <v>66</v>
      </c>
      <c r="C6" s="41">
        <v>1135677.3</v>
      </c>
      <c r="D6" s="6" t="s">
        <v>67</v>
      </c>
      <c r="E6" s="6"/>
      <c r="F6" s="6"/>
      <c r="G6" s="6"/>
      <c r="H6" s="6"/>
      <c r="I6" s="6"/>
      <c r="J6" s="6"/>
    </row>
    <row r="7" spans="2:10" ht="18" customHeight="1" x14ac:dyDescent="0.3">
      <c r="B7" s="42" t="s">
        <v>68</v>
      </c>
      <c r="C7" s="43">
        <v>0.35199999999999998</v>
      </c>
      <c r="D7" s="7" t="s">
        <v>69</v>
      </c>
      <c r="E7" s="7"/>
      <c r="F7" s="7"/>
      <c r="G7" s="7"/>
      <c r="H7" s="7"/>
      <c r="I7" s="7"/>
      <c r="J7" s="7"/>
    </row>
    <row r="8" spans="2:10" ht="18" customHeight="1" x14ac:dyDescent="0.3">
      <c r="B8" s="40" t="s">
        <v>70</v>
      </c>
      <c r="C8" s="41">
        <v>3310450.51</v>
      </c>
      <c r="D8" s="6" t="s">
        <v>71</v>
      </c>
      <c r="E8" s="6"/>
      <c r="F8" s="6"/>
      <c r="G8" s="6"/>
      <c r="H8" s="6"/>
      <c r="I8" s="6"/>
      <c r="J8" s="6"/>
    </row>
    <row r="9" spans="2:10" ht="18" customHeight="1" x14ac:dyDescent="0.3">
      <c r="B9" s="38" t="s">
        <v>72</v>
      </c>
      <c r="C9" s="39">
        <v>1165221.31</v>
      </c>
      <c r="D9" s="7" t="s">
        <v>73</v>
      </c>
      <c r="E9" s="7"/>
      <c r="F9" s="7"/>
      <c r="G9" s="7"/>
      <c r="H9" s="7"/>
      <c r="I9" s="7"/>
      <c r="J9" s="7"/>
    </row>
    <row r="11" spans="2:10" ht="24" customHeight="1" x14ac:dyDescent="0.3">
      <c r="B11" s="5" t="s">
        <v>74</v>
      </c>
      <c r="C11" s="5"/>
      <c r="D11" s="5"/>
      <c r="E11" s="5"/>
      <c r="F11" s="5"/>
      <c r="G11" s="5"/>
      <c r="H11" s="5"/>
      <c r="I11" s="5"/>
      <c r="J11" s="5"/>
    </row>
    <row r="12" spans="2:10" ht="15" customHeight="1" x14ac:dyDescent="0.3">
      <c r="B12" s="44" t="s">
        <v>75</v>
      </c>
      <c r="C12" s="44" t="s">
        <v>76</v>
      </c>
      <c r="D12" s="44" t="s">
        <v>77</v>
      </c>
      <c r="E12" s="44" t="s">
        <v>78</v>
      </c>
    </row>
    <row r="13" spans="2:10" ht="19.5" customHeight="1" x14ac:dyDescent="0.3">
      <c r="B13" s="45" t="s">
        <v>79</v>
      </c>
      <c r="C13" s="46">
        <v>3310450.51</v>
      </c>
      <c r="D13" s="47">
        <f>C13/C13</f>
        <v>1</v>
      </c>
      <c r="E13" s="4" t="s">
        <v>80</v>
      </c>
      <c r="F13" s="4"/>
      <c r="G13" s="4"/>
      <c r="H13" s="4"/>
      <c r="I13" s="4"/>
      <c r="J13" s="4"/>
    </row>
    <row r="14" spans="2:10" ht="19.5" customHeight="1" x14ac:dyDescent="0.3">
      <c r="B14" s="38" t="s">
        <v>81</v>
      </c>
      <c r="C14" s="48">
        <v>-552351.65</v>
      </c>
      <c r="D14" s="49">
        <f>C14/C13</f>
        <v>-0.16685090090653554</v>
      </c>
      <c r="E14" s="7" t="s">
        <v>82</v>
      </c>
      <c r="F14" s="7"/>
      <c r="G14" s="7"/>
      <c r="H14" s="7"/>
      <c r="I14" s="7"/>
      <c r="J14" s="7"/>
    </row>
    <row r="15" spans="2:10" ht="19.5" customHeight="1" x14ac:dyDescent="0.3">
      <c r="B15" s="40" t="s">
        <v>83</v>
      </c>
      <c r="C15" s="50">
        <v>-52803.26</v>
      </c>
      <c r="D15" s="51">
        <f>C15/C13</f>
        <v>-1.5950475574395464E-2</v>
      </c>
      <c r="E15" s="6" t="s">
        <v>84</v>
      </c>
      <c r="F15" s="6"/>
      <c r="G15" s="6"/>
      <c r="H15" s="6"/>
      <c r="I15" s="6"/>
      <c r="J15" s="6"/>
    </row>
    <row r="16" spans="2:10" ht="19.5" customHeight="1" x14ac:dyDescent="0.3">
      <c r="B16" s="52" t="s">
        <v>85</v>
      </c>
      <c r="C16" s="53">
        <v>2705295.6</v>
      </c>
      <c r="D16" s="54">
        <f>C16/C13</f>
        <v>0.81719862351906913</v>
      </c>
      <c r="E16" s="3" t="s">
        <v>86</v>
      </c>
      <c r="F16" s="3"/>
      <c r="G16" s="3"/>
      <c r="H16" s="3"/>
      <c r="I16" s="3"/>
      <c r="J16" s="3"/>
    </row>
    <row r="17" spans="2:10" ht="19.5" customHeight="1" x14ac:dyDescent="0.3">
      <c r="B17" s="40" t="s">
        <v>87</v>
      </c>
      <c r="C17" s="50">
        <v>-1165221.31</v>
      </c>
      <c r="D17" s="51">
        <f>C17/C13</f>
        <v>-0.35198270038478846</v>
      </c>
      <c r="E17" s="6" t="s">
        <v>88</v>
      </c>
      <c r="F17" s="6"/>
      <c r="G17" s="6"/>
      <c r="H17" s="6"/>
      <c r="I17" s="6"/>
      <c r="J17" s="6"/>
    </row>
    <row r="18" spans="2:10" ht="19.5" customHeight="1" x14ac:dyDescent="0.3">
      <c r="B18" s="38" t="s">
        <v>89</v>
      </c>
      <c r="C18" s="48">
        <v>-128290.5</v>
      </c>
      <c r="D18" s="49">
        <f>C18/C13</f>
        <v>-3.8753184683615771E-2</v>
      </c>
      <c r="E18" s="7" t="s">
        <v>90</v>
      </c>
      <c r="F18" s="7"/>
      <c r="G18" s="7"/>
      <c r="H18" s="7"/>
      <c r="I18" s="7"/>
      <c r="J18" s="7"/>
    </row>
    <row r="19" spans="2:10" ht="19.5" customHeight="1" x14ac:dyDescent="0.3">
      <c r="B19" s="40" t="s">
        <v>91</v>
      </c>
      <c r="C19" s="50">
        <v>-627400</v>
      </c>
      <c r="D19" s="51">
        <f>C19/C13</f>
        <v>-0.18952103289409997</v>
      </c>
      <c r="E19" s="6" t="s">
        <v>92</v>
      </c>
      <c r="F19" s="6"/>
      <c r="G19" s="6"/>
      <c r="H19" s="6"/>
      <c r="I19" s="6"/>
      <c r="J19" s="6"/>
    </row>
    <row r="20" spans="2:10" ht="19.5" customHeight="1" x14ac:dyDescent="0.3">
      <c r="B20" s="34" t="s">
        <v>93</v>
      </c>
      <c r="C20" s="55">
        <v>784383.79</v>
      </c>
      <c r="D20" s="56">
        <f>C20/C13</f>
        <v>0.23694170555656491</v>
      </c>
      <c r="E20" s="2" t="s">
        <v>94</v>
      </c>
      <c r="F20" s="2"/>
      <c r="G20" s="2"/>
      <c r="H20" s="2"/>
      <c r="I20" s="2"/>
      <c r="J20" s="2"/>
    </row>
    <row r="21" spans="2:10" ht="19.5" customHeight="1" x14ac:dyDescent="0.3">
      <c r="B21" s="57" t="s">
        <v>95</v>
      </c>
      <c r="C21" s="58">
        <v>-82761.259999999995</v>
      </c>
      <c r="D21" s="59">
        <f>C21/C13</f>
        <v>-2.4999999169297352E-2</v>
      </c>
      <c r="E21" s="1" t="s">
        <v>96</v>
      </c>
      <c r="F21" s="1"/>
      <c r="G21" s="1"/>
      <c r="H21" s="1"/>
      <c r="I21" s="1"/>
      <c r="J21" s="1"/>
    </row>
    <row r="22" spans="2:10" ht="19.5" customHeight="1" x14ac:dyDescent="0.3">
      <c r="B22" s="57" t="s">
        <v>97</v>
      </c>
      <c r="C22" s="58">
        <v>701622.53</v>
      </c>
      <c r="D22" s="59">
        <f>C22/C13</f>
        <v>0.21194170638726753</v>
      </c>
      <c r="E22" s="1" t="s">
        <v>98</v>
      </c>
      <c r="F22" s="1"/>
      <c r="G22" s="1"/>
      <c r="H22" s="1"/>
      <c r="I22" s="1"/>
      <c r="J22" s="1"/>
    </row>
    <row r="24" spans="2:10" ht="7.5" customHeight="1" x14ac:dyDescent="0.3"/>
    <row r="25" spans="2:10" ht="27.75" customHeight="1" x14ac:dyDescent="0.3">
      <c r="B25" s="160" t="s">
        <v>99</v>
      </c>
      <c r="C25" s="160"/>
      <c r="D25" s="160"/>
      <c r="E25" s="160"/>
      <c r="F25" s="160"/>
      <c r="G25" s="160"/>
      <c r="H25" s="160"/>
      <c r="I25" s="160"/>
      <c r="J25" s="160"/>
    </row>
    <row r="27" spans="2:10" ht="24" customHeight="1" x14ac:dyDescent="0.3">
      <c r="B27" s="5" t="s">
        <v>100</v>
      </c>
      <c r="C27" s="5"/>
      <c r="D27" s="5"/>
      <c r="E27" s="5"/>
      <c r="F27" s="5"/>
      <c r="G27" s="5"/>
      <c r="H27" s="5"/>
      <c r="I27" s="5"/>
      <c r="J27" s="5"/>
    </row>
    <row r="28" spans="2:10" ht="24" customHeight="1" x14ac:dyDescent="0.3">
      <c r="B28" s="161" t="s">
        <v>101</v>
      </c>
      <c r="C28" s="161"/>
      <c r="D28" s="161"/>
      <c r="E28" s="161"/>
      <c r="F28" s="161"/>
      <c r="G28" s="161"/>
      <c r="H28" s="161"/>
      <c r="I28" s="161"/>
      <c r="J28" s="161"/>
    </row>
    <row r="29" spans="2:10" ht="18" customHeight="1" x14ac:dyDescent="0.3">
      <c r="B29" s="38" t="s">
        <v>4</v>
      </c>
      <c r="C29" s="60">
        <v>39063.49</v>
      </c>
    </row>
    <row r="30" spans="2:10" ht="18" customHeight="1" x14ac:dyDescent="0.3">
      <c r="B30" s="61" t="s">
        <v>102</v>
      </c>
      <c r="C30" s="62">
        <v>-21516.07</v>
      </c>
    </row>
    <row r="31" spans="2:10" ht="18" customHeight="1" x14ac:dyDescent="0.3">
      <c r="B31" s="38" t="s">
        <v>8</v>
      </c>
      <c r="C31" s="60">
        <v>17362.43</v>
      </c>
    </row>
    <row r="32" spans="2:10" ht="18" customHeight="1" x14ac:dyDescent="0.3">
      <c r="B32" s="40" t="s">
        <v>103</v>
      </c>
      <c r="C32" s="50">
        <v>13749.672689147999</v>
      </c>
    </row>
    <row r="33" spans="2:10" ht="18" customHeight="1" x14ac:dyDescent="0.3">
      <c r="B33" s="38" t="s">
        <v>104</v>
      </c>
      <c r="C33" s="48">
        <v>1513</v>
      </c>
    </row>
    <row r="34" spans="2:10" ht="18" customHeight="1" x14ac:dyDescent="0.3">
      <c r="B34" s="40" t="s">
        <v>28</v>
      </c>
      <c r="C34" s="50">
        <v>15050</v>
      </c>
    </row>
    <row r="35" spans="2:10" ht="18" customHeight="1" x14ac:dyDescent="0.3">
      <c r="B35" s="35" t="s">
        <v>93</v>
      </c>
      <c r="C35" s="63">
        <v>-12950.242689148001</v>
      </c>
    </row>
    <row r="36" spans="2:10" ht="18" customHeight="1" x14ac:dyDescent="0.3">
      <c r="B36" s="40" t="s">
        <v>105</v>
      </c>
      <c r="C36" s="51">
        <v>-0.33151781085479098</v>
      </c>
    </row>
    <row r="37" spans="2:10" ht="18" customHeight="1" x14ac:dyDescent="0.3">
      <c r="B37" s="38" t="s">
        <v>106</v>
      </c>
      <c r="C37" s="64">
        <v>7558</v>
      </c>
    </row>
    <row r="38" spans="2:10" ht="18" customHeight="1" x14ac:dyDescent="0.3">
      <c r="B38" s="40" t="s">
        <v>107</v>
      </c>
      <c r="C38" s="65">
        <v>5.1684956337655503</v>
      </c>
    </row>
    <row r="39" spans="2:10" ht="18" customHeight="1" x14ac:dyDescent="0.3">
      <c r="B39" s="38" t="s">
        <v>108</v>
      </c>
      <c r="C39" s="66">
        <v>5.5082407474271404</v>
      </c>
    </row>
    <row r="40" spans="2:10" ht="18" customHeight="1" x14ac:dyDescent="0.3">
      <c r="B40" s="40" t="s">
        <v>109</v>
      </c>
      <c r="C40" s="51">
        <v>-6.1679423474780101E-2</v>
      </c>
    </row>
    <row r="42" spans="2:10" ht="15" customHeight="1" x14ac:dyDescent="0.3">
      <c r="B42" s="162" t="s">
        <v>110</v>
      </c>
      <c r="C42" s="162"/>
      <c r="D42" s="162"/>
      <c r="E42" s="162"/>
      <c r="F42" s="162"/>
      <c r="G42" s="162"/>
      <c r="H42" s="162"/>
      <c r="I42" s="162"/>
      <c r="J42" s="162"/>
    </row>
    <row r="43" spans="2:10" ht="15.75" customHeight="1" x14ac:dyDescent="0.3">
      <c r="B43" s="163" t="s">
        <v>111</v>
      </c>
      <c r="C43" s="163"/>
      <c r="D43" s="163"/>
      <c r="E43" s="163"/>
      <c r="F43" s="163"/>
      <c r="G43" s="163"/>
      <c r="H43" s="163"/>
      <c r="I43" s="163"/>
      <c r="J43" s="163"/>
    </row>
    <row r="44" spans="2:10" ht="15.75" customHeight="1" x14ac:dyDescent="0.3">
      <c r="B44" s="164" t="s">
        <v>112</v>
      </c>
      <c r="C44" s="164"/>
      <c r="D44" s="164"/>
      <c r="E44" s="164"/>
      <c r="F44" s="164"/>
      <c r="G44" s="164"/>
      <c r="H44" s="164"/>
      <c r="I44" s="164"/>
      <c r="J44" s="164"/>
    </row>
    <row r="45" spans="2:10" ht="15.75" customHeight="1" x14ac:dyDescent="0.3">
      <c r="B45" s="165" t="s">
        <v>113</v>
      </c>
      <c r="C45" s="165"/>
      <c r="D45" s="165"/>
      <c r="E45" s="165"/>
      <c r="F45" s="165"/>
      <c r="G45" s="165"/>
      <c r="H45" s="165"/>
      <c r="I45" s="165"/>
      <c r="J45" s="165"/>
    </row>
    <row r="46" spans="2:10" ht="15.75" customHeight="1" x14ac:dyDescent="0.3">
      <c r="B46" s="164" t="s">
        <v>114</v>
      </c>
      <c r="C46" s="164"/>
      <c r="D46" s="164"/>
      <c r="E46" s="164"/>
      <c r="F46" s="164"/>
      <c r="G46" s="164"/>
      <c r="H46" s="164"/>
      <c r="I46" s="164"/>
      <c r="J46" s="164"/>
    </row>
    <row r="47" spans="2:10" ht="15.75" customHeight="1" x14ac:dyDescent="0.3">
      <c r="B47" s="165" t="s">
        <v>115</v>
      </c>
      <c r="C47" s="165"/>
      <c r="D47" s="165"/>
      <c r="E47" s="165"/>
      <c r="F47" s="165"/>
      <c r="G47" s="165"/>
      <c r="H47" s="165"/>
      <c r="I47" s="165"/>
      <c r="J47" s="165"/>
    </row>
    <row r="48" spans="2:10" ht="15.75" customHeight="1" x14ac:dyDescent="0.3">
      <c r="B48" s="164" t="s">
        <v>116</v>
      </c>
      <c r="C48" s="164"/>
      <c r="D48" s="164"/>
      <c r="E48" s="164"/>
      <c r="F48" s="164"/>
      <c r="G48" s="164"/>
      <c r="H48" s="164"/>
      <c r="I48" s="164"/>
      <c r="J48" s="164"/>
    </row>
    <row r="49" spans="2:11" ht="15.75" customHeight="1" x14ac:dyDescent="0.3">
      <c r="B49" s="165" t="s">
        <v>117</v>
      </c>
      <c r="C49" s="165"/>
      <c r="D49" s="165"/>
      <c r="E49" s="165"/>
      <c r="F49" s="165"/>
      <c r="G49" s="165"/>
      <c r="H49" s="165"/>
      <c r="I49" s="165"/>
      <c r="J49" s="165"/>
    </row>
    <row r="51" spans="2:11" ht="24" customHeight="1" x14ac:dyDescent="0.3">
      <c r="B51" s="166" t="s">
        <v>118</v>
      </c>
      <c r="C51" s="166"/>
      <c r="D51" s="166"/>
      <c r="E51" s="166"/>
      <c r="F51" s="166"/>
      <c r="G51" s="166"/>
      <c r="H51" s="166"/>
      <c r="I51" s="166"/>
      <c r="J51" s="166"/>
    </row>
    <row r="52" spans="2:11" ht="31.5" customHeight="1" x14ac:dyDescent="0.3">
      <c r="B52" s="67" t="s">
        <v>119</v>
      </c>
      <c r="C52" s="67" t="s">
        <v>28</v>
      </c>
      <c r="D52" s="67" t="s">
        <v>4</v>
      </c>
      <c r="E52" s="67" t="s">
        <v>120</v>
      </c>
      <c r="F52" s="67" t="s">
        <v>121</v>
      </c>
      <c r="G52" s="67" t="s">
        <v>108</v>
      </c>
      <c r="H52" s="67" t="s">
        <v>122</v>
      </c>
      <c r="I52" s="67" t="s">
        <v>123</v>
      </c>
      <c r="J52" s="67" t="s">
        <v>124</v>
      </c>
      <c r="K52" s="67" t="s">
        <v>125</v>
      </c>
    </row>
    <row r="53" spans="2:11" ht="19.5" customHeight="1" x14ac:dyDescent="0.3">
      <c r="B53" s="19" t="s">
        <v>126</v>
      </c>
      <c r="C53" s="39">
        <v>15500</v>
      </c>
      <c r="D53" s="39">
        <v>48447.99</v>
      </c>
      <c r="E53" s="68">
        <v>7331</v>
      </c>
      <c r="F53" s="69">
        <v>6.6086468421770599</v>
      </c>
      <c r="G53" s="69">
        <v>5.5082407474271404</v>
      </c>
      <c r="H53" s="70">
        <v>0.199774509722347</v>
      </c>
      <c r="I53" s="71">
        <v>2.9677419354838701</v>
      </c>
      <c r="J53" s="70">
        <v>0.193547052434873</v>
      </c>
      <c r="K53" s="72" t="s">
        <v>127</v>
      </c>
    </row>
    <row r="54" spans="2:11" ht="19.5" customHeight="1" x14ac:dyDescent="0.3">
      <c r="B54" s="61" t="s">
        <v>128</v>
      </c>
      <c r="C54" s="73">
        <v>15050</v>
      </c>
      <c r="D54" s="73">
        <v>39063.49</v>
      </c>
      <c r="E54" s="74">
        <v>7558</v>
      </c>
      <c r="F54" s="75">
        <v>5.1684956337655503</v>
      </c>
      <c r="G54" s="75">
        <v>5.5082407474271404</v>
      </c>
      <c r="H54" s="76">
        <v>-6.1679423474780101E-2</v>
      </c>
      <c r="I54" s="77">
        <v>3.58471760797342</v>
      </c>
      <c r="J54" s="76">
        <v>-0.33151781085479098</v>
      </c>
      <c r="K54" s="78" t="s">
        <v>129</v>
      </c>
    </row>
    <row r="55" spans="2:11" ht="19.5" customHeight="1" x14ac:dyDescent="0.3">
      <c r="B55" s="61" t="s">
        <v>130</v>
      </c>
      <c r="C55" s="73">
        <v>12800</v>
      </c>
      <c r="D55" s="73">
        <v>28551.9</v>
      </c>
      <c r="E55" s="74">
        <v>10849</v>
      </c>
      <c r="F55" s="75">
        <v>2.6317540787169298</v>
      </c>
      <c r="G55" s="75">
        <v>5.5082407474271404</v>
      </c>
      <c r="H55" s="76">
        <v>-0.52221513194640201</v>
      </c>
      <c r="I55" s="77">
        <v>1.3671875</v>
      </c>
      <c r="J55" s="76">
        <v>-2.44524832893823E-2</v>
      </c>
      <c r="K55" s="78" t="s">
        <v>129</v>
      </c>
    </row>
    <row r="56" spans="2:11" ht="19.5" customHeight="1" x14ac:dyDescent="0.3">
      <c r="B56" s="79" t="s">
        <v>131</v>
      </c>
      <c r="C56" s="80">
        <v>12400</v>
      </c>
      <c r="D56" s="80">
        <v>63104.66</v>
      </c>
      <c r="E56" s="81">
        <v>7002</v>
      </c>
      <c r="F56" s="82">
        <v>9.0123764638674704</v>
      </c>
      <c r="G56" s="82">
        <v>5.5082407474271404</v>
      </c>
      <c r="H56" s="83">
        <v>0.63616241139733698</v>
      </c>
      <c r="I56" s="84">
        <v>2.8427419354838701</v>
      </c>
      <c r="J56" s="83">
        <v>0.333177159633881</v>
      </c>
      <c r="K56" s="85" t="s">
        <v>132</v>
      </c>
    </row>
    <row r="57" spans="2:11" ht="19.5" customHeight="1" x14ac:dyDescent="0.3">
      <c r="B57" s="79" t="s">
        <v>133</v>
      </c>
      <c r="C57" s="80">
        <v>10500</v>
      </c>
      <c r="D57" s="80">
        <v>81634.52</v>
      </c>
      <c r="E57" s="81">
        <v>9291</v>
      </c>
      <c r="F57" s="82">
        <v>8.7864083521687704</v>
      </c>
      <c r="G57" s="82">
        <v>5.5082407474271404</v>
      </c>
      <c r="H57" s="83">
        <v>0.595138766633036</v>
      </c>
      <c r="I57" s="84">
        <v>3.6571428571428601</v>
      </c>
      <c r="J57" s="83">
        <v>0.30495752558440098</v>
      </c>
      <c r="K57" s="85" t="s">
        <v>132</v>
      </c>
    </row>
    <row r="58" spans="2:11" ht="19.5" customHeight="1" x14ac:dyDescent="0.3">
      <c r="B58" s="18" t="s">
        <v>134</v>
      </c>
      <c r="C58" s="86"/>
      <c r="D58" s="86"/>
      <c r="E58" s="86"/>
      <c r="F58" s="87">
        <v>5.5082407474271404</v>
      </c>
      <c r="G58" s="87">
        <v>5.5082407474271404</v>
      </c>
      <c r="H58" s="86"/>
      <c r="I58" s="86"/>
      <c r="J58" s="88">
        <v>0.220790837649502</v>
      </c>
      <c r="K58" s="86"/>
    </row>
    <row r="60" spans="2:11" ht="24" customHeight="1" x14ac:dyDescent="0.3">
      <c r="B60" s="167" t="s">
        <v>135</v>
      </c>
      <c r="C60" s="167"/>
      <c r="D60" s="167"/>
      <c r="E60" s="167"/>
      <c r="F60" s="167"/>
      <c r="G60" s="167"/>
      <c r="H60" s="167"/>
      <c r="I60" s="167"/>
      <c r="J60" s="167"/>
    </row>
    <row r="61" spans="2:11" ht="15.75" customHeight="1" x14ac:dyDescent="0.3">
      <c r="B61" s="168" t="s">
        <v>136</v>
      </c>
      <c r="C61" s="168"/>
      <c r="D61" s="168"/>
      <c r="E61" s="168"/>
      <c r="F61" s="168"/>
      <c r="G61" s="168"/>
      <c r="H61" s="168"/>
      <c r="I61" s="168"/>
      <c r="J61" s="168"/>
    </row>
    <row r="62" spans="2:11" ht="15.75" customHeight="1" x14ac:dyDescent="0.3">
      <c r="B62" s="169" t="s">
        <v>137</v>
      </c>
      <c r="C62" s="169"/>
      <c r="D62" s="169"/>
      <c r="E62" s="169"/>
      <c r="F62" s="169"/>
      <c r="G62" s="169"/>
      <c r="H62" s="169"/>
      <c r="I62" s="169"/>
      <c r="J62" s="169"/>
    </row>
    <row r="63" spans="2:11" ht="15.75" customHeight="1" x14ac:dyDescent="0.3">
      <c r="B63" s="170" t="s">
        <v>138</v>
      </c>
      <c r="C63" s="170"/>
      <c r="D63" s="170"/>
      <c r="E63" s="170"/>
      <c r="F63" s="170"/>
      <c r="G63" s="170"/>
      <c r="H63" s="170"/>
      <c r="I63" s="170"/>
      <c r="J63" s="170"/>
    </row>
    <row r="64" spans="2:11" ht="15.75" customHeight="1" x14ac:dyDescent="0.3">
      <c r="B64" s="165" t="s">
        <v>139</v>
      </c>
      <c r="C64" s="165"/>
      <c r="D64" s="165"/>
      <c r="E64" s="165"/>
      <c r="F64" s="165"/>
      <c r="G64" s="165"/>
      <c r="H64" s="165"/>
      <c r="I64" s="165"/>
      <c r="J64" s="165"/>
    </row>
    <row r="65" spans="2:10" ht="15.75" customHeight="1" x14ac:dyDescent="0.3">
      <c r="B65" s="171" t="s">
        <v>140</v>
      </c>
      <c r="C65" s="171"/>
      <c r="D65" s="171"/>
      <c r="E65" s="171"/>
      <c r="F65" s="171"/>
      <c r="G65" s="171"/>
      <c r="H65" s="171"/>
      <c r="I65" s="171"/>
      <c r="J65" s="171"/>
    </row>
    <row r="66" spans="2:10" ht="15.75" customHeight="1" x14ac:dyDescent="0.3">
      <c r="B66" s="172" t="s">
        <v>141</v>
      </c>
      <c r="C66" s="172"/>
      <c r="D66" s="172"/>
      <c r="E66" s="172"/>
      <c r="F66" s="172"/>
      <c r="G66" s="172"/>
      <c r="H66" s="172"/>
      <c r="I66" s="172"/>
      <c r="J66" s="172"/>
    </row>
    <row r="67" spans="2:10" ht="15.75" customHeight="1" x14ac:dyDescent="0.3">
      <c r="B67" s="171" t="s">
        <v>142</v>
      </c>
      <c r="C67" s="171"/>
      <c r="D67" s="171"/>
      <c r="E67" s="171"/>
      <c r="F67" s="171"/>
      <c r="G67" s="171"/>
      <c r="H67" s="171"/>
      <c r="I67" s="171"/>
      <c r="J67" s="171"/>
    </row>
  </sheetData>
  <mergeCells count="38">
    <mergeCell ref="B65:J65"/>
    <mergeCell ref="B66:J66"/>
    <mergeCell ref="B67:J67"/>
    <mergeCell ref="B60:J60"/>
    <mergeCell ref="B61:J61"/>
    <mergeCell ref="B62:J62"/>
    <mergeCell ref="B63:J63"/>
    <mergeCell ref="B64:J64"/>
    <mergeCell ref="B46:J46"/>
    <mergeCell ref="B47:J47"/>
    <mergeCell ref="B48:J48"/>
    <mergeCell ref="B49:J49"/>
    <mergeCell ref="B51:J51"/>
    <mergeCell ref="B28:J28"/>
    <mergeCell ref="B42:J42"/>
    <mergeCell ref="B43:J43"/>
    <mergeCell ref="B44:J44"/>
    <mergeCell ref="B45:J45"/>
    <mergeCell ref="E20:J20"/>
    <mergeCell ref="E21:J21"/>
    <mergeCell ref="E22:J22"/>
    <mergeCell ref="B25:J25"/>
    <mergeCell ref="B27:J27"/>
    <mergeCell ref="E15:J15"/>
    <mergeCell ref="E16:J16"/>
    <mergeCell ref="E17:J17"/>
    <mergeCell ref="E18:J18"/>
    <mergeCell ref="E19:J19"/>
    <mergeCell ref="D8:J8"/>
    <mergeCell ref="D9:J9"/>
    <mergeCell ref="B11:J11"/>
    <mergeCell ref="E13:J13"/>
    <mergeCell ref="E14:J14"/>
    <mergeCell ref="B1:J1"/>
    <mergeCell ref="B3:J3"/>
    <mergeCell ref="D5:J5"/>
    <mergeCell ref="D6:J6"/>
    <mergeCell ref="D7:J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A5E9"/>
  </sheetPr>
  <dimension ref="A1:R94"/>
  <sheetViews>
    <sheetView showGridLines="0" zoomScaleNormal="100" workbookViewId="0">
      <pane xSplit="1" ySplit="2" topLeftCell="B86" activePane="bottomRight" state="frozen"/>
      <selection pane="topRight" activeCell="B1" sqref="B1"/>
      <selection pane="bottomLeft" activeCell="A3" sqref="A3"/>
      <selection pane="bottomRight"/>
    </sheetView>
  </sheetViews>
  <sheetFormatPr defaultColWidth="8.6640625" defaultRowHeight="14.4" x14ac:dyDescent="0.3"/>
  <cols>
    <col min="1" max="1" width="3" style="15" customWidth="1"/>
    <col min="2" max="2" width="12" style="15" customWidth="1"/>
    <col min="3" max="4" width="14" style="15" customWidth="1"/>
    <col min="5" max="6" width="13" style="15" customWidth="1"/>
    <col min="7" max="7" width="11" style="15" customWidth="1"/>
    <col min="8" max="9" width="13" style="15" customWidth="1"/>
    <col min="10" max="10" width="14" style="15" customWidth="1"/>
    <col min="11" max="12" width="13" style="15" customWidth="1"/>
    <col min="13" max="13" width="14" style="15" customWidth="1"/>
    <col min="14" max="17" width="11" style="15" customWidth="1"/>
  </cols>
  <sheetData>
    <row r="1" spans="2:18" ht="30" customHeight="1" x14ac:dyDescent="0.3">
      <c r="B1" s="173" t="s">
        <v>143</v>
      </c>
      <c r="C1" s="173"/>
      <c r="D1" s="173"/>
      <c r="E1" s="173"/>
      <c r="F1" s="173"/>
      <c r="G1" s="173"/>
      <c r="H1" s="173"/>
      <c r="I1" s="173"/>
      <c r="J1" s="173"/>
    </row>
    <row r="2" spans="2:18" ht="27.75" customHeight="1" x14ac:dyDescent="0.3">
      <c r="B2" s="89" t="s">
        <v>119</v>
      </c>
      <c r="C2" s="89" t="s">
        <v>4</v>
      </c>
      <c r="D2" s="89" t="s">
        <v>8</v>
      </c>
      <c r="E2" s="89" t="s">
        <v>144</v>
      </c>
      <c r="F2" s="89" t="s">
        <v>145</v>
      </c>
      <c r="G2" s="89" t="s">
        <v>120</v>
      </c>
      <c r="H2" s="89" t="s">
        <v>28</v>
      </c>
      <c r="I2" s="89" t="s">
        <v>146</v>
      </c>
      <c r="J2" s="89" t="s">
        <v>147</v>
      </c>
      <c r="K2" s="89" t="s">
        <v>148</v>
      </c>
      <c r="L2" s="89" t="s">
        <v>149</v>
      </c>
      <c r="M2" s="89" t="s">
        <v>150</v>
      </c>
      <c r="N2" s="89" t="s">
        <v>124</v>
      </c>
      <c r="O2" s="89" t="s">
        <v>121</v>
      </c>
      <c r="P2" s="89" t="s">
        <v>123</v>
      </c>
      <c r="Q2" s="89" t="s">
        <v>151</v>
      </c>
      <c r="R2" s="89" t="s">
        <v>152</v>
      </c>
    </row>
    <row r="3" spans="2:18" ht="15.75" customHeight="1" x14ac:dyDescent="0.3">
      <c r="B3" s="90" t="s">
        <v>153</v>
      </c>
      <c r="C3" s="91">
        <v>97074.6</v>
      </c>
      <c r="D3" s="91">
        <v>84236.87</v>
      </c>
      <c r="E3" s="92">
        <v>-12622.23</v>
      </c>
      <c r="F3" s="93">
        <v>-215.5</v>
      </c>
      <c r="G3" s="94">
        <v>7418</v>
      </c>
      <c r="H3" s="91">
        <v>5350</v>
      </c>
      <c r="I3" s="91">
        <v>16050</v>
      </c>
      <c r="J3" s="93">
        <v>34168.579828119997</v>
      </c>
      <c r="K3" s="94">
        <v>443</v>
      </c>
      <c r="L3" s="93">
        <v>3765.5</v>
      </c>
      <c r="M3" s="95">
        <v>40952.790171879999</v>
      </c>
      <c r="N3" s="96">
        <v>0.42186926520305001</v>
      </c>
      <c r="O3" s="97">
        <v>13.0863575087625</v>
      </c>
      <c r="P3" s="98">
        <v>3</v>
      </c>
      <c r="Q3" s="99">
        <v>3.8420059315179202E-2</v>
      </c>
      <c r="R3" s="100">
        <v>0.38999730385548698</v>
      </c>
    </row>
    <row r="4" spans="2:18" ht="15.75" customHeight="1" x14ac:dyDescent="0.3">
      <c r="B4" s="101" t="s">
        <v>154</v>
      </c>
      <c r="C4" s="102">
        <v>44746.99</v>
      </c>
      <c r="D4" s="102">
        <v>31587.32</v>
      </c>
      <c r="E4" s="92">
        <v>-12186.48</v>
      </c>
      <c r="F4" s="103">
        <v>-973.19</v>
      </c>
      <c r="G4" s="104">
        <v>7027</v>
      </c>
      <c r="H4" s="102">
        <v>4820</v>
      </c>
      <c r="I4" s="102">
        <v>13660</v>
      </c>
      <c r="J4" s="103">
        <v>15750.166365692899</v>
      </c>
      <c r="K4" s="104">
        <v>204</v>
      </c>
      <c r="L4" s="103">
        <v>1734</v>
      </c>
      <c r="M4" s="105">
        <v>9283.1536343071402</v>
      </c>
      <c r="N4" s="106">
        <v>0.207458728158188</v>
      </c>
      <c r="O4" s="107">
        <v>6.3678653764052902</v>
      </c>
      <c r="P4" s="108">
        <v>2.8340248962655599</v>
      </c>
      <c r="Q4" s="109">
        <v>1.7930838195531498E-2</v>
      </c>
      <c r="R4" s="106">
        <v>0.42649779422228501</v>
      </c>
    </row>
    <row r="5" spans="2:18" ht="15.75" customHeight="1" x14ac:dyDescent="0.3">
      <c r="B5" s="90" t="s">
        <v>155</v>
      </c>
      <c r="C5" s="91">
        <v>45629.9</v>
      </c>
      <c r="D5" s="91">
        <v>37746.519999999997</v>
      </c>
      <c r="E5" s="93">
        <v>-7877.38</v>
      </c>
      <c r="F5" s="93">
        <v>-6</v>
      </c>
      <c r="G5" s="94">
        <v>10654</v>
      </c>
      <c r="H5" s="91">
        <v>6580</v>
      </c>
      <c r="I5" s="91">
        <v>20540</v>
      </c>
      <c r="J5" s="93">
        <v>16060.93541152</v>
      </c>
      <c r="K5" s="94">
        <v>208</v>
      </c>
      <c r="L5" s="93">
        <v>1768</v>
      </c>
      <c r="M5" s="95">
        <v>13337.5845884801</v>
      </c>
      <c r="N5" s="96">
        <v>0.29229922898099803</v>
      </c>
      <c r="O5" s="97">
        <v>4.28288905575371</v>
      </c>
      <c r="P5" s="98">
        <v>3.12158054711246</v>
      </c>
      <c r="Q5" s="99">
        <v>1.2108128402477899E-2</v>
      </c>
      <c r="R5" s="100">
        <v>0.33180026281208902</v>
      </c>
    </row>
    <row r="6" spans="2:18" ht="15.75" customHeight="1" x14ac:dyDescent="0.3">
      <c r="B6" s="101" t="s">
        <v>156</v>
      </c>
      <c r="C6" s="102">
        <v>57708.4</v>
      </c>
      <c r="D6" s="102">
        <v>53603.15</v>
      </c>
      <c r="E6" s="103">
        <v>-4047</v>
      </c>
      <c r="F6" s="103">
        <v>-58.25</v>
      </c>
      <c r="G6" s="104">
        <v>6720</v>
      </c>
      <c r="H6" s="102">
        <v>5960</v>
      </c>
      <c r="I6" s="102">
        <v>17780</v>
      </c>
      <c r="J6" s="103">
        <v>20312.358455796701</v>
      </c>
      <c r="K6" s="104">
        <v>263</v>
      </c>
      <c r="L6" s="103">
        <v>2235.5</v>
      </c>
      <c r="M6" s="95">
        <v>25095.291544203301</v>
      </c>
      <c r="N6" s="96">
        <v>0.43486375543600803</v>
      </c>
      <c r="O6" s="107">
        <v>8.5875595238095208</v>
      </c>
      <c r="P6" s="108">
        <v>2.98322147651007</v>
      </c>
      <c r="Q6" s="109">
        <v>2.5000000000000001E-2</v>
      </c>
      <c r="R6" s="106">
        <v>0.35877976190476202</v>
      </c>
    </row>
    <row r="7" spans="2:18" ht="15.75" customHeight="1" x14ac:dyDescent="0.3">
      <c r="B7" s="90" t="s">
        <v>157</v>
      </c>
      <c r="C7" s="91">
        <v>36737.699999999997</v>
      </c>
      <c r="D7" s="91">
        <v>34462.5</v>
      </c>
      <c r="E7" s="93">
        <v>-2226.4</v>
      </c>
      <c r="F7" s="93">
        <v>-48.8</v>
      </c>
      <c r="G7" s="94">
        <v>6317</v>
      </c>
      <c r="H7" s="91">
        <v>5540</v>
      </c>
      <c r="I7" s="91">
        <v>15620</v>
      </c>
      <c r="J7" s="93">
        <v>12931.034844866999</v>
      </c>
      <c r="K7" s="94">
        <v>167</v>
      </c>
      <c r="L7" s="93">
        <v>1419.5</v>
      </c>
      <c r="M7" s="95">
        <v>14571.965155133001</v>
      </c>
      <c r="N7" s="96">
        <v>0.39664881457285101</v>
      </c>
      <c r="O7" s="97">
        <v>5.8156878264999197</v>
      </c>
      <c r="P7" s="98">
        <v>2.8194945848375501</v>
      </c>
      <c r="Q7" s="99">
        <v>1.8679753047332499E-2</v>
      </c>
      <c r="R7" s="100">
        <v>0.39243311698591099</v>
      </c>
    </row>
    <row r="8" spans="2:18" ht="15.75" customHeight="1" x14ac:dyDescent="0.3">
      <c r="B8" s="101" t="s">
        <v>158</v>
      </c>
      <c r="C8" s="102">
        <v>33192.81</v>
      </c>
      <c r="D8" s="102">
        <v>27274.66</v>
      </c>
      <c r="E8" s="103">
        <v>-5851.9</v>
      </c>
      <c r="F8" s="103">
        <v>-66.25</v>
      </c>
      <c r="G8" s="104">
        <v>6176</v>
      </c>
      <c r="H8" s="102">
        <v>5180</v>
      </c>
      <c r="I8" s="102">
        <v>13995</v>
      </c>
      <c r="J8" s="103">
        <v>11683.294890781101</v>
      </c>
      <c r="K8" s="104">
        <v>151</v>
      </c>
      <c r="L8" s="103">
        <v>1283.5</v>
      </c>
      <c r="M8" s="95">
        <v>9127.8651092188793</v>
      </c>
      <c r="N8" s="96">
        <v>0.274995250755175</v>
      </c>
      <c r="O8" s="107">
        <v>5.3744834844559604</v>
      </c>
      <c r="P8" s="108">
        <v>2.7017374517374502</v>
      </c>
      <c r="Q8" s="109">
        <v>1.5867875647668301E-2</v>
      </c>
      <c r="R8" s="106">
        <v>0.41871761658031098</v>
      </c>
    </row>
    <row r="9" spans="2:18" ht="15.75" customHeight="1" x14ac:dyDescent="0.3">
      <c r="B9" s="90" t="s">
        <v>128</v>
      </c>
      <c r="C9" s="91">
        <v>39063.49</v>
      </c>
      <c r="D9" s="91">
        <v>17362.43</v>
      </c>
      <c r="E9" s="92">
        <v>-21516.07</v>
      </c>
      <c r="F9" s="93">
        <v>-184.99</v>
      </c>
      <c r="G9" s="94">
        <v>7558</v>
      </c>
      <c r="H9" s="110">
        <v>15050</v>
      </c>
      <c r="I9" s="91">
        <v>53950</v>
      </c>
      <c r="J9" s="93">
        <v>13749.672689147999</v>
      </c>
      <c r="K9" s="94">
        <v>178</v>
      </c>
      <c r="L9" s="93">
        <v>1513</v>
      </c>
      <c r="M9" s="111">
        <v>-12950.242689148001</v>
      </c>
      <c r="N9" s="112">
        <v>-0.33151781085479098</v>
      </c>
      <c r="O9" s="97">
        <v>5.1684956337655503</v>
      </c>
      <c r="P9" s="98">
        <v>3.58471760797342</v>
      </c>
      <c r="Q9" s="99">
        <v>1.5347975654935101E-2</v>
      </c>
      <c r="R9" s="100">
        <v>0.406853664990738</v>
      </c>
    </row>
    <row r="10" spans="2:18" ht="15.75" customHeight="1" x14ac:dyDescent="0.3">
      <c r="B10" s="101" t="s">
        <v>159</v>
      </c>
      <c r="C10" s="102">
        <v>52284.05</v>
      </c>
      <c r="D10" s="102">
        <v>39224.33</v>
      </c>
      <c r="E10" s="92">
        <v>-12233.12</v>
      </c>
      <c r="F10" s="103">
        <v>-826.6</v>
      </c>
      <c r="G10" s="104">
        <v>7502</v>
      </c>
      <c r="H10" s="102">
        <v>6670</v>
      </c>
      <c r="I10" s="102">
        <v>21140</v>
      </c>
      <c r="J10" s="103">
        <v>18403.081096006801</v>
      </c>
      <c r="K10" s="104">
        <v>238</v>
      </c>
      <c r="L10" s="103">
        <v>2023</v>
      </c>
      <c r="M10" s="105">
        <v>12128.248903993201</v>
      </c>
      <c r="N10" s="106">
        <v>0.23196842830639999</v>
      </c>
      <c r="O10" s="107">
        <v>6.96934817382032</v>
      </c>
      <c r="P10" s="108">
        <v>3.1694152923538201</v>
      </c>
      <c r="Q10" s="109">
        <v>2.02612636630231E-2</v>
      </c>
      <c r="R10" s="106">
        <v>0.39376166355638498</v>
      </c>
    </row>
    <row r="11" spans="2:18" ht="15.75" customHeight="1" x14ac:dyDescent="0.3">
      <c r="B11" s="90" t="s">
        <v>160</v>
      </c>
      <c r="C11" s="91">
        <v>32033.03</v>
      </c>
      <c r="D11" s="91">
        <v>23639.53</v>
      </c>
      <c r="E11" s="93">
        <v>-8393.5</v>
      </c>
      <c r="F11" s="93">
        <v>0</v>
      </c>
      <c r="G11" s="94">
        <v>7033</v>
      </c>
      <c r="H11" s="91">
        <v>6050</v>
      </c>
      <c r="I11" s="91">
        <v>18080</v>
      </c>
      <c r="J11" s="93">
        <v>11275.0723947517</v>
      </c>
      <c r="K11" s="94">
        <v>146</v>
      </c>
      <c r="L11" s="93">
        <v>1241</v>
      </c>
      <c r="M11" s="113">
        <v>5073.4576052482998</v>
      </c>
      <c r="N11" s="100">
        <v>0.15838207017095501</v>
      </c>
      <c r="O11" s="97">
        <v>4.55467510308545</v>
      </c>
      <c r="P11" s="98">
        <v>2.98842975206612</v>
      </c>
      <c r="Q11" s="99">
        <v>1.50718043509171E-2</v>
      </c>
      <c r="R11" s="100">
        <v>0.413479311815726</v>
      </c>
    </row>
    <row r="12" spans="2:18" ht="15.75" customHeight="1" x14ac:dyDescent="0.3">
      <c r="B12" s="101" t="s">
        <v>161</v>
      </c>
      <c r="C12" s="102">
        <v>36977.78</v>
      </c>
      <c r="D12" s="102">
        <v>29161.35</v>
      </c>
      <c r="E12" s="103">
        <v>-7816.43</v>
      </c>
      <c r="F12" s="103">
        <v>0</v>
      </c>
      <c r="G12" s="104">
        <v>10397</v>
      </c>
      <c r="H12" s="102">
        <v>7390</v>
      </c>
      <c r="I12" s="102">
        <v>23220</v>
      </c>
      <c r="J12" s="103">
        <v>13015.5388515292</v>
      </c>
      <c r="K12" s="104">
        <v>169</v>
      </c>
      <c r="L12" s="103">
        <v>1436.5</v>
      </c>
      <c r="M12" s="105">
        <v>7319.3111484707597</v>
      </c>
      <c r="N12" s="106">
        <v>0.197938090076548</v>
      </c>
      <c r="O12" s="107">
        <v>3.55658170626142</v>
      </c>
      <c r="P12" s="108">
        <v>3.14208389715832</v>
      </c>
      <c r="Q12" s="109">
        <v>9.4257959026641993E-3</v>
      </c>
      <c r="R12" s="106">
        <v>0.31441762046744298</v>
      </c>
    </row>
    <row r="13" spans="2:18" ht="15.75" customHeight="1" x14ac:dyDescent="0.3">
      <c r="B13" s="90" t="s">
        <v>162</v>
      </c>
      <c r="C13" s="91">
        <v>38358.81</v>
      </c>
      <c r="D13" s="91">
        <v>36016.61</v>
      </c>
      <c r="E13" s="93">
        <v>-2287</v>
      </c>
      <c r="F13" s="93">
        <v>-55.2</v>
      </c>
      <c r="G13" s="94">
        <v>6610</v>
      </c>
      <c r="H13" s="91">
        <v>6360</v>
      </c>
      <c r="I13" s="91">
        <v>18910</v>
      </c>
      <c r="J13" s="93">
        <v>13501.637519976301</v>
      </c>
      <c r="K13" s="94">
        <v>175</v>
      </c>
      <c r="L13" s="93">
        <v>1487.5</v>
      </c>
      <c r="M13" s="95">
        <v>14667.4724800237</v>
      </c>
      <c r="N13" s="96">
        <v>0.38237558673023803</v>
      </c>
      <c r="O13" s="97">
        <v>5.8031482602117999</v>
      </c>
      <c r="P13" s="98">
        <v>2.9732704402515702</v>
      </c>
      <c r="Q13" s="99">
        <v>1.40695915279878E-2</v>
      </c>
      <c r="R13" s="100">
        <v>0.37579425113464499</v>
      </c>
    </row>
    <row r="14" spans="2:18" ht="15.75" customHeight="1" x14ac:dyDescent="0.3">
      <c r="B14" s="101" t="s">
        <v>163</v>
      </c>
      <c r="C14" s="102">
        <v>33830.6</v>
      </c>
      <c r="D14" s="102">
        <v>31149.7</v>
      </c>
      <c r="E14" s="103">
        <v>-2680.9</v>
      </c>
      <c r="F14" s="103">
        <v>0</v>
      </c>
      <c r="G14" s="104">
        <v>6162</v>
      </c>
      <c r="H14" s="102">
        <v>5690</v>
      </c>
      <c r="I14" s="102">
        <v>15960</v>
      </c>
      <c r="J14" s="103">
        <v>11907.785937137</v>
      </c>
      <c r="K14" s="104">
        <v>154</v>
      </c>
      <c r="L14" s="103">
        <v>1309</v>
      </c>
      <c r="M14" s="95">
        <v>12242.914062862999</v>
      </c>
      <c r="N14" s="96">
        <v>0.36188876528536401</v>
      </c>
      <c r="O14" s="107">
        <v>5.49019798766634</v>
      </c>
      <c r="P14" s="108">
        <v>2.8049209138840099</v>
      </c>
      <c r="Q14" s="109">
        <v>1.4930217461863E-2</v>
      </c>
      <c r="R14" s="106">
        <v>0.36449204803635199</v>
      </c>
    </row>
    <row r="15" spans="2:18" ht="15.75" customHeight="1" x14ac:dyDescent="0.3">
      <c r="B15" s="90" t="s">
        <v>164</v>
      </c>
      <c r="C15" s="91">
        <v>24024.79</v>
      </c>
      <c r="D15" s="91">
        <v>17771.990000000002</v>
      </c>
      <c r="E15" s="93">
        <v>-6252.8</v>
      </c>
      <c r="F15" s="93">
        <v>0</v>
      </c>
      <c r="G15" s="94">
        <v>6460</v>
      </c>
      <c r="H15" s="91">
        <v>5330</v>
      </c>
      <c r="I15" s="91">
        <v>14320</v>
      </c>
      <c r="J15" s="93">
        <v>8456.3104557610295</v>
      </c>
      <c r="K15" s="94">
        <v>110</v>
      </c>
      <c r="L15" s="93">
        <v>935</v>
      </c>
      <c r="M15" s="113">
        <v>3050.6795442389698</v>
      </c>
      <c r="N15" s="100">
        <v>0.12698048741483201</v>
      </c>
      <c r="O15" s="97">
        <v>3.7190077399380801</v>
      </c>
      <c r="P15" s="98">
        <v>2.6866791744840501</v>
      </c>
      <c r="Q15" s="99">
        <v>1.3157894736842099E-2</v>
      </c>
      <c r="R15" s="100">
        <v>0.384210526315789</v>
      </c>
    </row>
    <row r="16" spans="2:18" ht="15.75" customHeight="1" x14ac:dyDescent="0.3">
      <c r="B16" s="101" t="s">
        <v>165</v>
      </c>
      <c r="C16" s="102">
        <v>31261.200000000001</v>
      </c>
      <c r="D16" s="102">
        <v>27873.45</v>
      </c>
      <c r="E16" s="103">
        <v>-3344</v>
      </c>
      <c r="F16" s="103">
        <v>-43.75</v>
      </c>
      <c r="G16" s="104">
        <v>6667</v>
      </c>
      <c r="H16" s="102">
        <v>5950</v>
      </c>
      <c r="I16" s="102">
        <v>16680</v>
      </c>
      <c r="J16" s="103">
        <v>11003.401587262</v>
      </c>
      <c r="K16" s="104">
        <v>143</v>
      </c>
      <c r="L16" s="103">
        <v>1215.5</v>
      </c>
      <c r="M16" s="95">
        <v>9704.5484127379805</v>
      </c>
      <c r="N16" s="96">
        <v>0.31043428955823799</v>
      </c>
      <c r="O16" s="107">
        <v>4.6889455527223598</v>
      </c>
      <c r="P16" s="108">
        <v>2.8033613445378198</v>
      </c>
      <c r="Q16" s="109">
        <v>1.42492875356232E-2</v>
      </c>
      <c r="R16" s="106">
        <v>0.36958152092395402</v>
      </c>
    </row>
    <row r="17" spans="2:18" ht="15.75" customHeight="1" x14ac:dyDescent="0.3">
      <c r="B17" s="90" t="s">
        <v>166</v>
      </c>
      <c r="C17" s="91">
        <v>49751.32</v>
      </c>
      <c r="D17" s="91">
        <v>41878.81</v>
      </c>
      <c r="E17" s="93">
        <v>-7592.16</v>
      </c>
      <c r="F17" s="93">
        <v>-280.35000000000002</v>
      </c>
      <c r="G17" s="94">
        <v>6892</v>
      </c>
      <c r="H17" s="91">
        <v>6520</v>
      </c>
      <c r="I17" s="91">
        <v>19275</v>
      </c>
      <c r="J17" s="93">
        <v>17511.6039517479</v>
      </c>
      <c r="K17" s="94">
        <v>227</v>
      </c>
      <c r="L17" s="93">
        <v>1929.5</v>
      </c>
      <c r="M17" s="95">
        <v>15917.706048252099</v>
      </c>
      <c r="N17" s="96">
        <v>0.31994540141351302</v>
      </c>
      <c r="O17" s="97">
        <v>7.2187057457922199</v>
      </c>
      <c r="P17" s="98">
        <v>2.9562883435582799</v>
      </c>
      <c r="Q17" s="99">
        <v>1.8136970400464299E-2</v>
      </c>
      <c r="R17" s="100">
        <v>0.383633197910621</v>
      </c>
    </row>
    <row r="18" spans="2:18" ht="15.75" customHeight="1" x14ac:dyDescent="0.3">
      <c r="B18" s="101" t="s">
        <v>167</v>
      </c>
      <c r="C18" s="102">
        <v>44316.19</v>
      </c>
      <c r="D18" s="102">
        <v>40069.589999999997</v>
      </c>
      <c r="E18" s="103">
        <v>-3911.6</v>
      </c>
      <c r="F18" s="103">
        <v>-335</v>
      </c>
      <c r="G18" s="104">
        <v>6815</v>
      </c>
      <c r="H18" s="102">
        <v>6880</v>
      </c>
      <c r="I18" s="102">
        <v>21600</v>
      </c>
      <c r="J18" s="103">
        <v>15598.5322184499</v>
      </c>
      <c r="K18" s="104">
        <v>202</v>
      </c>
      <c r="L18" s="103">
        <v>1717</v>
      </c>
      <c r="M18" s="95">
        <v>15874.0577815501</v>
      </c>
      <c r="N18" s="96">
        <v>0.35819996668373599</v>
      </c>
      <c r="O18" s="107">
        <v>6.5027424798239197</v>
      </c>
      <c r="P18" s="108">
        <v>3.13953488372093</v>
      </c>
      <c r="Q18" s="109">
        <v>1.9809244314013201E-2</v>
      </c>
      <c r="R18" s="106">
        <v>0.39339691856199599</v>
      </c>
    </row>
    <row r="19" spans="2:18" ht="15.75" customHeight="1" x14ac:dyDescent="0.3">
      <c r="B19" s="90" t="s">
        <v>130</v>
      </c>
      <c r="C19" s="91">
        <v>28551.9</v>
      </c>
      <c r="D19" s="91">
        <v>23256.61</v>
      </c>
      <c r="E19" s="93">
        <v>-5295.29</v>
      </c>
      <c r="F19" s="93">
        <v>0</v>
      </c>
      <c r="G19" s="94">
        <v>10849</v>
      </c>
      <c r="H19" s="110">
        <v>12800</v>
      </c>
      <c r="I19" s="91">
        <v>17500</v>
      </c>
      <c r="J19" s="93">
        <v>10049.7748576301</v>
      </c>
      <c r="K19" s="94">
        <v>130</v>
      </c>
      <c r="L19" s="93">
        <v>1105</v>
      </c>
      <c r="M19" s="111">
        <v>-698.16485763011406</v>
      </c>
      <c r="N19" s="112">
        <v>-2.44524832893823E-2</v>
      </c>
      <c r="O19" s="97">
        <v>2.6317540787169298</v>
      </c>
      <c r="P19" s="98">
        <v>1.3671875</v>
      </c>
      <c r="Q19" s="99">
        <v>8.7565674255691006E-3</v>
      </c>
      <c r="R19" s="100">
        <v>0.30629551110701497</v>
      </c>
    </row>
    <row r="20" spans="2:18" ht="15.75" customHeight="1" x14ac:dyDescent="0.3">
      <c r="B20" s="101" t="s">
        <v>168</v>
      </c>
      <c r="C20" s="102">
        <v>38941.760000000002</v>
      </c>
      <c r="D20" s="102">
        <v>36186.03</v>
      </c>
      <c r="E20" s="103">
        <v>-2755.73</v>
      </c>
      <c r="F20" s="103">
        <v>0</v>
      </c>
      <c r="G20" s="104">
        <v>6261</v>
      </c>
      <c r="H20" s="102">
        <v>6360</v>
      </c>
      <c r="I20" s="102">
        <v>20080</v>
      </c>
      <c r="J20" s="103">
        <v>13706.8258350536</v>
      </c>
      <c r="K20" s="104">
        <v>178</v>
      </c>
      <c r="L20" s="103">
        <v>1513</v>
      </c>
      <c r="M20" s="95">
        <v>14606.204164946401</v>
      </c>
      <c r="N20" s="96">
        <v>0.37507817224867201</v>
      </c>
      <c r="O20" s="107">
        <v>6.2197348666347203</v>
      </c>
      <c r="P20" s="108">
        <v>3.1572327044025199</v>
      </c>
      <c r="Q20" s="109">
        <v>1.3735824948091301E-2</v>
      </c>
      <c r="R20" s="106">
        <v>0.40967896502156198</v>
      </c>
    </row>
    <row r="21" spans="2:18" ht="15.75" customHeight="1" x14ac:dyDescent="0.3">
      <c r="B21" s="90" t="s">
        <v>169</v>
      </c>
      <c r="C21" s="91">
        <v>24204.67</v>
      </c>
      <c r="D21" s="91">
        <v>22341.02</v>
      </c>
      <c r="E21" s="93">
        <v>-1561.9</v>
      </c>
      <c r="F21" s="93">
        <v>-301.75</v>
      </c>
      <c r="G21" s="94">
        <v>6056</v>
      </c>
      <c r="H21" s="91">
        <v>5540</v>
      </c>
      <c r="I21" s="91">
        <v>15620</v>
      </c>
      <c r="J21" s="93">
        <v>8519.62510387168</v>
      </c>
      <c r="K21" s="94">
        <v>110</v>
      </c>
      <c r="L21" s="93">
        <v>935</v>
      </c>
      <c r="M21" s="95">
        <v>7346.3948961283204</v>
      </c>
      <c r="N21" s="96">
        <v>0.30351146684207297</v>
      </c>
      <c r="O21" s="97">
        <v>3.99680812417437</v>
      </c>
      <c r="P21" s="98">
        <v>2.8194945848375501</v>
      </c>
      <c r="Q21" s="99">
        <v>1.0237780713342101E-2</v>
      </c>
      <c r="R21" s="100">
        <v>0.42717965653897</v>
      </c>
    </row>
    <row r="22" spans="2:18" ht="15.75" customHeight="1" x14ac:dyDescent="0.3">
      <c r="B22" s="101" t="s">
        <v>170</v>
      </c>
      <c r="C22" s="102">
        <v>22612.95</v>
      </c>
      <c r="D22" s="102">
        <v>13504.7</v>
      </c>
      <c r="E22" s="103">
        <v>-8991.5</v>
      </c>
      <c r="F22" s="103">
        <v>-116.75</v>
      </c>
      <c r="G22" s="104">
        <v>6180</v>
      </c>
      <c r="H22" s="102">
        <v>5130</v>
      </c>
      <c r="I22" s="102">
        <v>13600</v>
      </c>
      <c r="J22" s="103">
        <v>7959.3672003210604</v>
      </c>
      <c r="K22" s="104">
        <v>103</v>
      </c>
      <c r="L22" s="103">
        <v>875.5</v>
      </c>
      <c r="M22" s="111">
        <v>-460.16720032106099</v>
      </c>
      <c r="N22" s="112">
        <v>-2.03497199755477E-2</v>
      </c>
      <c r="O22" s="107">
        <v>3.65905339805825</v>
      </c>
      <c r="P22" s="108">
        <v>2.65107212475634</v>
      </c>
      <c r="Q22" s="109">
        <v>1.2459546925566301E-2</v>
      </c>
      <c r="R22" s="106">
        <v>0.41860841423948197</v>
      </c>
    </row>
    <row r="23" spans="2:18" ht="15.75" customHeight="1" x14ac:dyDescent="0.3">
      <c r="B23" s="90" t="s">
        <v>171</v>
      </c>
      <c r="C23" s="91">
        <v>31639.5</v>
      </c>
      <c r="D23" s="91">
        <v>14899.64</v>
      </c>
      <c r="E23" s="92">
        <v>-16585.86</v>
      </c>
      <c r="F23" s="93">
        <v>-154</v>
      </c>
      <c r="G23" s="94">
        <v>7894</v>
      </c>
      <c r="H23" s="91">
        <v>6050</v>
      </c>
      <c r="I23" s="91">
        <v>16960</v>
      </c>
      <c r="J23" s="93">
        <v>11136.556642744899</v>
      </c>
      <c r="K23" s="94">
        <v>144</v>
      </c>
      <c r="L23" s="93">
        <v>1224</v>
      </c>
      <c r="M23" s="111">
        <v>-3510.9166427448999</v>
      </c>
      <c r="N23" s="112">
        <v>-0.110966249237342</v>
      </c>
      <c r="O23" s="97">
        <v>4.0080440841145197</v>
      </c>
      <c r="P23" s="98">
        <v>2.8033057851239702</v>
      </c>
      <c r="Q23" s="99">
        <v>8.8674942994679002E-3</v>
      </c>
      <c r="R23" s="100">
        <v>0.42817329617430999</v>
      </c>
    </row>
    <row r="24" spans="2:18" ht="15.75" customHeight="1" x14ac:dyDescent="0.3">
      <c r="B24" s="101" t="s">
        <v>172</v>
      </c>
      <c r="C24" s="102">
        <v>48355.72</v>
      </c>
      <c r="D24" s="102">
        <v>35820.01</v>
      </c>
      <c r="E24" s="92">
        <v>-12485.96</v>
      </c>
      <c r="F24" s="103">
        <v>-49.75</v>
      </c>
      <c r="G24" s="104">
        <v>7491</v>
      </c>
      <c r="H24" s="102">
        <v>6770</v>
      </c>
      <c r="I24" s="102">
        <v>20040</v>
      </c>
      <c r="J24" s="103">
        <v>17020.376895359001</v>
      </c>
      <c r="K24" s="104">
        <v>220</v>
      </c>
      <c r="L24" s="103">
        <v>1870</v>
      </c>
      <c r="M24" s="105">
        <v>10159.633104641</v>
      </c>
      <c r="N24" s="106">
        <v>0.21010199216640699</v>
      </c>
      <c r="O24" s="107">
        <v>6.4551755439861198</v>
      </c>
      <c r="P24" s="108">
        <v>2.9601181683899598</v>
      </c>
      <c r="Q24" s="109">
        <v>1.8288613002269302E-2</v>
      </c>
      <c r="R24" s="106">
        <v>0.41062608463489503</v>
      </c>
    </row>
    <row r="25" spans="2:18" ht="15.75" customHeight="1" x14ac:dyDescent="0.3">
      <c r="B25" s="90" t="s">
        <v>173</v>
      </c>
      <c r="C25" s="91">
        <v>44969.62</v>
      </c>
      <c r="D25" s="91">
        <v>37826.620000000003</v>
      </c>
      <c r="E25" s="93">
        <v>-7102</v>
      </c>
      <c r="F25" s="93">
        <v>-41</v>
      </c>
      <c r="G25" s="94">
        <v>6450</v>
      </c>
      <c r="H25" s="91">
        <v>6360</v>
      </c>
      <c r="I25" s="91">
        <v>17740</v>
      </c>
      <c r="J25" s="93">
        <v>15828.5282742368</v>
      </c>
      <c r="K25" s="94">
        <v>205</v>
      </c>
      <c r="L25" s="93">
        <v>1742.5</v>
      </c>
      <c r="M25" s="95">
        <v>13895.591725763299</v>
      </c>
      <c r="N25" s="96">
        <v>0.30899953625943999</v>
      </c>
      <c r="O25" s="97">
        <v>6.9720341085271302</v>
      </c>
      <c r="P25" s="98">
        <v>2.7893081761006302</v>
      </c>
      <c r="Q25" s="99">
        <v>1.65891472868217E-2</v>
      </c>
      <c r="R25" s="100">
        <v>0.37813953488372098</v>
      </c>
    </row>
    <row r="26" spans="2:18" ht="15.75" customHeight="1" x14ac:dyDescent="0.3">
      <c r="B26" s="101" t="s">
        <v>174</v>
      </c>
      <c r="C26" s="102">
        <v>37784.879999999997</v>
      </c>
      <c r="D26" s="102">
        <v>30492.55</v>
      </c>
      <c r="E26" s="103">
        <v>-7172.33</v>
      </c>
      <c r="F26" s="103">
        <v>-120</v>
      </c>
      <c r="G26" s="104">
        <v>6217</v>
      </c>
      <c r="H26" s="102">
        <v>5950</v>
      </c>
      <c r="I26" s="102">
        <v>15960</v>
      </c>
      <c r="J26" s="103">
        <v>13299.6240888547</v>
      </c>
      <c r="K26" s="104">
        <v>172</v>
      </c>
      <c r="L26" s="103">
        <v>1462</v>
      </c>
      <c r="M26" s="95">
        <v>9780.9259111452902</v>
      </c>
      <c r="N26" s="96">
        <v>0.25885819701280699</v>
      </c>
      <c r="O26" s="107">
        <v>6.0776709023644804</v>
      </c>
      <c r="P26" s="108">
        <v>2.6823529411764699</v>
      </c>
      <c r="Q26" s="109">
        <v>1.56023805694064E-2</v>
      </c>
      <c r="R26" s="106">
        <v>0.404214251246582</v>
      </c>
    </row>
    <row r="27" spans="2:18" ht="15.75" customHeight="1" x14ac:dyDescent="0.3">
      <c r="B27" s="90" t="s">
        <v>175</v>
      </c>
      <c r="C27" s="91">
        <v>28207.8</v>
      </c>
      <c r="D27" s="91">
        <v>23904.799999999999</v>
      </c>
      <c r="E27" s="93">
        <v>-4165</v>
      </c>
      <c r="F27" s="93">
        <v>-138</v>
      </c>
      <c r="G27" s="94">
        <v>5159</v>
      </c>
      <c r="H27" s="91">
        <v>5330</v>
      </c>
      <c r="I27" s="91">
        <v>13330</v>
      </c>
      <c r="J27" s="93">
        <v>9928.6576104938304</v>
      </c>
      <c r="K27" s="94">
        <v>129</v>
      </c>
      <c r="L27" s="93">
        <v>1096.5</v>
      </c>
      <c r="M27" s="95">
        <v>7549.6423895061698</v>
      </c>
      <c r="N27" s="96">
        <v>0.26764378609839001</v>
      </c>
      <c r="O27" s="97">
        <v>5.4676875363442496</v>
      </c>
      <c r="P27" s="98">
        <v>2.5009380863039401</v>
      </c>
      <c r="Q27" s="99">
        <v>1.3956193060670599E-2</v>
      </c>
      <c r="R27" s="100">
        <v>0.38495832525683299</v>
      </c>
    </row>
    <row r="28" spans="2:18" ht="15.75" customHeight="1" x14ac:dyDescent="0.3">
      <c r="B28" s="101" t="s">
        <v>176</v>
      </c>
      <c r="C28" s="102">
        <v>19554.52</v>
      </c>
      <c r="D28" s="102">
        <v>19282.02</v>
      </c>
      <c r="E28" s="103">
        <v>-269</v>
      </c>
      <c r="F28" s="103">
        <v>-3.5</v>
      </c>
      <c r="G28" s="104">
        <v>4935</v>
      </c>
      <c r="H28" s="102">
        <v>4820</v>
      </c>
      <c r="I28" s="102">
        <v>11560</v>
      </c>
      <c r="J28" s="103">
        <v>6882.8527505708998</v>
      </c>
      <c r="K28" s="104">
        <v>89</v>
      </c>
      <c r="L28" s="103">
        <v>756.5</v>
      </c>
      <c r="M28" s="95">
        <v>6822.6672494290997</v>
      </c>
      <c r="N28" s="96">
        <v>0.34890486953548899</v>
      </c>
      <c r="O28" s="107">
        <v>3.9624154002026302</v>
      </c>
      <c r="P28" s="108">
        <v>2.39834024896266</v>
      </c>
      <c r="Q28" s="109">
        <v>9.1185410334345997E-3</v>
      </c>
      <c r="R28" s="106">
        <v>0.38885511651469101</v>
      </c>
    </row>
    <row r="29" spans="2:18" ht="15.75" customHeight="1" x14ac:dyDescent="0.3">
      <c r="B29" s="90" t="s">
        <v>177</v>
      </c>
      <c r="C29" s="91">
        <v>9682.27</v>
      </c>
      <c r="D29" s="91">
        <v>9682.27</v>
      </c>
      <c r="E29" s="93">
        <v>0</v>
      </c>
      <c r="F29" s="93">
        <v>0</v>
      </c>
      <c r="G29" s="94">
        <v>4469</v>
      </c>
      <c r="H29" s="91">
        <v>4100</v>
      </c>
      <c r="I29" s="91">
        <v>8360</v>
      </c>
      <c r="J29" s="93">
        <v>3407.9915385941499</v>
      </c>
      <c r="K29" s="94">
        <v>44</v>
      </c>
      <c r="L29" s="93">
        <v>374</v>
      </c>
      <c r="M29" s="113">
        <v>1800.2784614058501</v>
      </c>
      <c r="N29" s="100">
        <v>0.18593557723610801</v>
      </c>
      <c r="O29" s="97">
        <v>2.16654061311255</v>
      </c>
      <c r="P29" s="98">
        <v>2.0390243902438998</v>
      </c>
      <c r="Q29" s="99">
        <v>1.07406578652942E-2</v>
      </c>
      <c r="R29" s="100">
        <v>0.38263593645110799</v>
      </c>
    </row>
    <row r="30" spans="2:18" ht="15.75" customHeight="1" x14ac:dyDescent="0.3">
      <c r="B30" s="101" t="s">
        <v>178</v>
      </c>
      <c r="C30" s="102">
        <v>25782.23</v>
      </c>
      <c r="D30" s="102">
        <v>18761.64</v>
      </c>
      <c r="E30" s="103">
        <v>-6284.29</v>
      </c>
      <c r="F30" s="103">
        <v>-736.3</v>
      </c>
      <c r="G30" s="104">
        <v>6074</v>
      </c>
      <c r="H30" s="102">
        <v>5540</v>
      </c>
      <c r="I30" s="102">
        <v>14280</v>
      </c>
      <c r="J30" s="103">
        <v>9074.8989323875794</v>
      </c>
      <c r="K30" s="104">
        <v>118</v>
      </c>
      <c r="L30" s="103">
        <v>1003</v>
      </c>
      <c r="M30" s="105">
        <v>3143.74106761242</v>
      </c>
      <c r="N30" s="106">
        <v>0.12193441248535999</v>
      </c>
      <c r="O30" s="107">
        <v>4.24468719130721</v>
      </c>
      <c r="P30" s="108">
        <v>2.5776173285198598</v>
      </c>
      <c r="Q30" s="109">
        <v>1.11952584787619E-2</v>
      </c>
      <c r="R30" s="106">
        <v>0.41768192295028</v>
      </c>
    </row>
    <row r="31" spans="2:18" ht="15.75" customHeight="1" x14ac:dyDescent="0.3">
      <c r="B31" s="90" t="s">
        <v>179</v>
      </c>
      <c r="C31" s="91">
        <v>30213.41</v>
      </c>
      <c r="D31" s="91">
        <v>18902.150000000001</v>
      </c>
      <c r="E31" s="92">
        <v>-11197.26</v>
      </c>
      <c r="F31" s="93">
        <v>-114</v>
      </c>
      <c r="G31" s="94">
        <v>6838</v>
      </c>
      <c r="H31" s="91">
        <v>6050</v>
      </c>
      <c r="I31" s="91">
        <v>16090</v>
      </c>
      <c r="J31" s="93">
        <v>10634.597633827199</v>
      </c>
      <c r="K31" s="94">
        <v>138</v>
      </c>
      <c r="L31" s="93">
        <v>1173</v>
      </c>
      <c r="M31" s="113">
        <v>1044.55236617282</v>
      </c>
      <c r="N31" s="100">
        <v>3.4572475141760602E-2</v>
      </c>
      <c r="O31" s="97">
        <v>4.4184571512138104</v>
      </c>
      <c r="P31" s="98">
        <v>2.6595041322314099</v>
      </c>
      <c r="Q31" s="99">
        <v>1.1699327288680899E-2</v>
      </c>
      <c r="R31" s="100">
        <v>0.39061128985083399</v>
      </c>
    </row>
    <row r="32" spans="2:18" ht="15.75" customHeight="1" x14ac:dyDescent="0.3">
      <c r="B32" s="101" t="s">
        <v>180</v>
      </c>
      <c r="C32" s="102">
        <v>41114.199999999997</v>
      </c>
      <c r="D32" s="102">
        <v>31104.63</v>
      </c>
      <c r="E32" s="103">
        <v>-9936.77</v>
      </c>
      <c r="F32" s="103">
        <v>-72.8</v>
      </c>
      <c r="G32" s="104">
        <v>6422</v>
      </c>
      <c r="H32" s="102">
        <v>6460</v>
      </c>
      <c r="I32" s="102">
        <v>17720</v>
      </c>
      <c r="J32" s="103">
        <v>14471.487132260099</v>
      </c>
      <c r="K32" s="104">
        <v>187</v>
      </c>
      <c r="L32" s="103">
        <v>1589.5</v>
      </c>
      <c r="M32" s="105">
        <v>8583.6428677399399</v>
      </c>
      <c r="N32" s="106">
        <v>0.20877562661416099</v>
      </c>
      <c r="O32" s="107">
        <v>6.4020865773902198</v>
      </c>
      <c r="P32" s="108">
        <v>2.7430340557275499</v>
      </c>
      <c r="Q32" s="109">
        <v>1.4792899408284E-2</v>
      </c>
      <c r="R32" s="106">
        <v>0.41933976954219898</v>
      </c>
    </row>
    <row r="33" spans="2:18" ht="15.75" customHeight="1" x14ac:dyDescent="0.3">
      <c r="B33" s="90" t="s">
        <v>181</v>
      </c>
      <c r="C33" s="91">
        <v>45355.34</v>
      </c>
      <c r="D33" s="91">
        <v>38032.22</v>
      </c>
      <c r="E33" s="93">
        <v>-7273.52</v>
      </c>
      <c r="F33" s="93">
        <v>-49.6</v>
      </c>
      <c r="G33" s="94">
        <v>7170</v>
      </c>
      <c r="H33" s="91">
        <v>6870</v>
      </c>
      <c r="I33" s="91">
        <v>19430</v>
      </c>
      <c r="J33" s="93">
        <v>15964.295041355101</v>
      </c>
      <c r="K33" s="94">
        <v>207</v>
      </c>
      <c r="L33" s="93">
        <v>1759.5</v>
      </c>
      <c r="M33" s="95">
        <v>13438.4249586449</v>
      </c>
      <c r="N33" s="96">
        <v>0.296292012332946</v>
      </c>
      <c r="O33" s="97">
        <v>6.3257099023709902</v>
      </c>
      <c r="P33" s="98">
        <v>2.82823871906841</v>
      </c>
      <c r="Q33" s="99">
        <v>1.7991631799163101E-2</v>
      </c>
      <c r="R33" s="100">
        <v>0.37852161785216198</v>
      </c>
    </row>
    <row r="34" spans="2:18" ht="15.75" customHeight="1" x14ac:dyDescent="0.3">
      <c r="B34" s="101" t="s">
        <v>182</v>
      </c>
      <c r="C34" s="102">
        <v>31499.599999999999</v>
      </c>
      <c r="D34" s="102">
        <v>29686.6</v>
      </c>
      <c r="E34" s="103">
        <v>-1813</v>
      </c>
      <c r="F34" s="103">
        <v>0</v>
      </c>
      <c r="G34" s="104">
        <v>6063</v>
      </c>
      <c r="H34" s="102">
        <v>5950</v>
      </c>
      <c r="I34" s="102">
        <v>15680</v>
      </c>
      <c r="J34" s="103">
        <v>11087.314262988</v>
      </c>
      <c r="K34" s="104">
        <v>144</v>
      </c>
      <c r="L34" s="103">
        <v>1224</v>
      </c>
      <c r="M34" s="95">
        <v>11425.2857370121</v>
      </c>
      <c r="N34" s="96">
        <v>0.36271208958247297</v>
      </c>
      <c r="O34" s="107">
        <v>5.1953818241794503</v>
      </c>
      <c r="P34" s="108">
        <v>2.6352941176470601</v>
      </c>
      <c r="Q34" s="109">
        <v>1.2699983506514899E-2</v>
      </c>
      <c r="R34" s="106">
        <v>0.37770080818076901</v>
      </c>
    </row>
    <row r="35" spans="2:18" ht="15.75" customHeight="1" x14ac:dyDescent="0.3">
      <c r="B35" s="90" t="s">
        <v>183</v>
      </c>
      <c r="C35" s="91">
        <v>27516.44</v>
      </c>
      <c r="D35" s="91">
        <v>26139.69</v>
      </c>
      <c r="E35" s="93">
        <v>-1327</v>
      </c>
      <c r="F35" s="93">
        <v>-49.75</v>
      </c>
      <c r="G35" s="94">
        <v>5333</v>
      </c>
      <c r="H35" s="91">
        <v>5330</v>
      </c>
      <c r="I35" s="91">
        <v>13090</v>
      </c>
      <c r="J35" s="93">
        <v>9685.3108508886507</v>
      </c>
      <c r="K35" s="94">
        <v>125</v>
      </c>
      <c r="L35" s="93">
        <v>1062.5</v>
      </c>
      <c r="M35" s="95">
        <v>10061.879149111401</v>
      </c>
      <c r="N35" s="96">
        <v>0.365667911587086</v>
      </c>
      <c r="O35" s="97">
        <v>5.1596549784361496</v>
      </c>
      <c r="P35" s="98">
        <v>2.4559099437148202</v>
      </c>
      <c r="Q35" s="99">
        <v>1.23757734858428E-2</v>
      </c>
      <c r="R35" s="100">
        <v>0.38402400150009403</v>
      </c>
    </row>
    <row r="36" spans="2:18" ht="15.75" customHeight="1" x14ac:dyDescent="0.3">
      <c r="B36" s="101" t="s">
        <v>184</v>
      </c>
      <c r="C36" s="102">
        <v>35214.93</v>
      </c>
      <c r="D36" s="102">
        <v>23527.11</v>
      </c>
      <c r="E36" s="92">
        <v>-10977.57</v>
      </c>
      <c r="F36" s="103">
        <v>-710.25</v>
      </c>
      <c r="G36" s="104">
        <v>6316</v>
      </c>
      <c r="H36" s="102">
        <v>5690</v>
      </c>
      <c r="I36" s="102">
        <v>14515</v>
      </c>
      <c r="J36" s="103">
        <v>12395.046148494701</v>
      </c>
      <c r="K36" s="104">
        <v>161</v>
      </c>
      <c r="L36" s="103">
        <v>1368.5</v>
      </c>
      <c r="M36" s="105">
        <v>4073.5638515053502</v>
      </c>
      <c r="N36" s="106">
        <v>0.115677181567743</v>
      </c>
      <c r="O36" s="107">
        <v>5.5755113996200096</v>
      </c>
      <c r="P36" s="108">
        <v>2.55096660808436</v>
      </c>
      <c r="Q36" s="109">
        <v>1.47245091830272E-2</v>
      </c>
      <c r="R36" s="106">
        <v>0.38125395820139302</v>
      </c>
    </row>
    <row r="37" spans="2:18" ht="15.75" customHeight="1" x14ac:dyDescent="0.3">
      <c r="B37" s="90" t="s">
        <v>185</v>
      </c>
      <c r="C37" s="91">
        <v>36791.800000000003</v>
      </c>
      <c r="D37" s="91">
        <v>31993.7</v>
      </c>
      <c r="E37" s="93">
        <v>-4674.1000000000004</v>
      </c>
      <c r="F37" s="93">
        <v>-124</v>
      </c>
      <c r="G37" s="94">
        <v>6267</v>
      </c>
      <c r="H37" s="91">
        <v>6050</v>
      </c>
      <c r="I37" s="91">
        <v>16010</v>
      </c>
      <c r="J37" s="93">
        <v>12950.0771089474</v>
      </c>
      <c r="K37" s="94">
        <v>168</v>
      </c>
      <c r="L37" s="93">
        <v>1428</v>
      </c>
      <c r="M37" s="95">
        <v>11565.622891052601</v>
      </c>
      <c r="N37" s="96">
        <v>0.314353276845726</v>
      </c>
      <c r="O37" s="97">
        <v>5.8707196425722001</v>
      </c>
      <c r="P37" s="98">
        <v>2.6462809917355399</v>
      </c>
      <c r="Q37" s="99">
        <v>1.2924844423168901E-2</v>
      </c>
      <c r="R37" s="100">
        <v>0.43034944949736698</v>
      </c>
    </row>
    <row r="38" spans="2:18" ht="15.75" customHeight="1" x14ac:dyDescent="0.3">
      <c r="B38" s="101" t="s">
        <v>186</v>
      </c>
      <c r="C38" s="102">
        <v>49600.59</v>
      </c>
      <c r="D38" s="102">
        <v>47531.34</v>
      </c>
      <c r="E38" s="103">
        <v>-1964.5</v>
      </c>
      <c r="F38" s="103">
        <v>-104.75</v>
      </c>
      <c r="G38" s="104">
        <v>6688</v>
      </c>
      <c r="H38" s="102">
        <v>7390</v>
      </c>
      <c r="I38" s="102">
        <v>21150</v>
      </c>
      <c r="J38" s="103">
        <v>17458.5495993478</v>
      </c>
      <c r="K38" s="104">
        <v>226</v>
      </c>
      <c r="L38" s="103">
        <v>1921</v>
      </c>
      <c r="M38" s="95">
        <v>20761.7904006522</v>
      </c>
      <c r="N38" s="96">
        <v>0.41857950481339401</v>
      </c>
      <c r="O38" s="107">
        <v>7.41635616028708</v>
      </c>
      <c r="P38" s="108">
        <v>2.8619756427604899</v>
      </c>
      <c r="Q38" s="109">
        <v>1.8989234449760702E-2</v>
      </c>
      <c r="R38" s="106">
        <v>0.385616028708134</v>
      </c>
    </row>
    <row r="39" spans="2:18" ht="15.75" customHeight="1" x14ac:dyDescent="0.3">
      <c r="B39" s="90" t="s">
        <v>187</v>
      </c>
      <c r="C39" s="91">
        <v>33773.22</v>
      </c>
      <c r="D39" s="91">
        <v>10197.81</v>
      </c>
      <c r="E39" s="92">
        <v>-23529.43</v>
      </c>
      <c r="F39" s="93">
        <v>-45.98</v>
      </c>
      <c r="G39" s="94">
        <v>5926</v>
      </c>
      <c r="H39" s="91">
        <v>5130</v>
      </c>
      <c r="I39" s="91">
        <v>12160</v>
      </c>
      <c r="J39" s="93">
        <v>11887.5891697999</v>
      </c>
      <c r="K39" s="94">
        <v>154</v>
      </c>
      <c r="L39" s="93">
        <v>1309</v>
      </c>
      <c r="M39" s="111">
        <v>-8128.7791697999301</v>
      </c>
      <c r="N39" s="112">
        <v>-0.24068712340132001</v>
      </c>
      <c r="O39" s="97">
        <v>5.69915963550456</v>
      </c>
      <c r="P39" s="98">
        <v>2.3703703703703698</v>
      </c>
      <c r="Q39" s="99">
        <v>1.4006074924063401E-2</v>
      </c>
      <c r="R39" s="100">
        <v>0.43030712116098502</v>
      </c>
    </row>
    <row r="40" spans="2:18" ht="15.75" customHeight="1" x14ac:dyDescent="0.3">
      <c r="B40" s="101" t="s">
        <v>188</v>
      </c>
      <c r="C40" s="102">
        <v>52463.98</v>
      </c>
      <c r="D40" s="102">
        <v>32168.83</v>
      </c>
      <c r="E40" s="92">
        <v>-14585.35</v>
      </c>
      <c r="F40" s="103">
        <v>-5709.8</v>
      </c>
      <c r="G40" s="104">
        <v>7902</v>
      </c>
      <c r="H40" s="102">
        <v>6770</v>
      </c>
      <c r="I40" s="102">
        <v>18320</v>
      </c>
      <c r="J40" s="103">
        <v>18466.413343252399</v>
      </c>
      <c r="K40" s="104">
        <v>239</v>
      </c>
      <c r="L40" s="103">
        <v>2031.5</v>
      </c>
      <c r="M40" s="105">
        <v>4900.9166567475704</v>
      </c>
      <c r="N40" s="106">
        <v>9.3414884969603304E-2</v>
      </c>
      <c r="O40" s="107">
        <v>6.6393292837256404</v>
      </c>
      <c r="P40" s="108">
        <v>2.7060561299852299</v>
      </c>
      <c r="Q40" s="109">
        <v>1.7970134143254799E-2</v>
      </c>
      <c r="R40" s="106">
        <v>0.42255125284737999</v>
      </c>
    </row>
    <row r="41" spans="2:18" ht="15.75" customHeight="1" x14ac:dyDescent="0.3">
      <c r="B41" s="90" t="s">
        <v>189</v>
      </c>
      <c r="C41" s="91">
        <v>38631.86</v>
      </c>
      <c r="D41" s="91">
        <v>31485.78</v>
      </c>
      <c r="E41" s="93">
        <v>-4504</v>
      </c>
      <c r="F41" s="93">
        <v>-2642.08</v>
      </c>
      <c r="G41" s="94">
        <v>5863</v>
      </c>
      <c r="H41" s="91">
        <v>5950</v>
      </c>
      <c r="I41" s="91">
        <v>15680</v>
      </c>
      <c r="J41" s="93">
        <v>13597.746396263899</v>
      </c>
      <c r="K41" s="94">
        <v>176</v>
      </c>
      <c r="L41" s="93">
        <v>1496</v>
      </c>
      <c r="M41" s="95">
        <v>10442.033603736099</v>
      </c>
      <c r="N41" s="96">
        <v>0.27029590611832099</v>
      </c>
      <c r="O41" s="97">
        <v>6.5890943203138299</v>
      </c>
      <c r="P41" s="98">
        <v>2.6352941176470601</v>
      </c>
      <c r="Q41" s="99">
        <v>1.3815452839843E-2</v>
      </c>
      <c r="R41" s="100">
        <v>0.39041446358519499</v>
      </c>
    </row>
    <row r="42" spans="2:18" ht="15.75" customHeight="1" x14ac:dyDescent="0.3">
      <c r="B42" s="101" t="s">
        <v>190</v>
      </c>
      <c r="C42" s="102">
        <v>25282.9</v>
      </c>
      <c r="D42" s="102">
        <v>21463.4</v>
      </c>
      <c r="E42" s="103">
        <v>-3199.6</v>
      </c>
      <c r="F42" s="103">
        <v>-619.9</v>
      </c>
      <c r="G42" s="104">
        <v>5441</v>
      </c>
      <c r="H42" s="102">
        <v>5330</v>
      </c>
      <c r="I42" s="102">
        <v>13090</v>
      </c>
      <c r="J42" s="103">
        <v>8899.1434107003897</v>
      </c>
      <c r="K42" s="104">
        <v>115</v>
      </c>
      <c r="L42" s="103">
        <v>977.5</v>
      </c>
      <c r="M42" s="105">
        <v>6256.7565892996099</v>
      </c>
      <c r="N42" s="106">
        <v>0.247469894248667</v>
      </c>
      <c r="O42" s="107">
        <v>4.6467377320345502</v>
      </c>
      <c r="P42" s="108">
        <v>2.4559099437148202</v>
      </c>
      <c r="Q42" s="109">
        <v>1.2313912883661E-2</v>
      </c>
      <c r="R42" s="106">
        <v>0.44348465355633199</v>
      </c>
    </row>
    <row r="43" spans="2:18" ht="15.75" customHeight="1" x14ac:dyDescent="0.3">
      <c r="B43" s="90" t="s">
        <v>191</v>
      </c>
      <c r="C43" s="91">
        <v>32821.46</v>
      </c>
      <c r="D43" s="91">
        <v>23751.200000000001</v>
      </c>
      <c r="E43" s="93">
        <v>-6142.01</v>
      </c>
      <c r="F43" s="93">
        <v>-2928.25</v>
      </c>
      <c r="G43" s="94">
        <v>6447</v>
      </c>
      <c r="H43" s="91">
        <v>5690</v>
      </c>
      <c r="I43" s="91">
        <v>14515</v>
      </c>
      <c r="J43" s="93">
        <v>11552.5861150646</v>
      </c>
      <c r="K43" s="94">
        <v>150</v>
      </c>
      <c r="L43" s="93">
        <v>1275</v>
      </c>
      <c r="M43" s="113">
        <v>5233.6138849354202</v>
      </c>
      <c r="N43" s="100">
        <v>0.15945707122521099</v>
      </c>
      <c r="O43" s="97">
        <v>5.09096634093377</v>
      </c>
      <c r="P43" s="98">
        <v>2.55096660808436</v>
      </c>
      <c r="Q43" s="99">
        <v>1.085776330076E-2</v>
      </c>
      <c r="R43" s="100">
        <v>0.43213897937024998</v>
      </c>
    </row>
    <row r="44" spans="2:18" ht="15.75" customHeight="1" x14ac:dyDescent="0.3">
      <c r="B44" s="101" t="s">
        <v>192</v>
      </c>
      <c r="C44" s="102">
        <v>30313.9</v>
      </c>
      <c r="D44" s="102">
        <v>10124.42</v>
      </c>
      <c r="E44" s="92">
        <v>-18423.18</v>
      </c>
      <c r="F44" s="103">
        <v>-1766.3</v>
      </c>
      <c r="G44" s="104">
        <v>5707</v>
      </c>
      <c r="H44" s="102">
        <v>4820</v>
      </c>
      <c r="I44" s="102">
        <v>11450</v>
      </c>
      <c r="J44" s="103">
        <v>10669.968375369501</v>
      </c>
      <c r="K44" s="104">
        <v>138</v>
      </c>
      <c r="L44" s="103">
        <v>1173</v>
      </c>
      <c r="M44" s="111">
        <v>-6538.5483753695398</v>
      </c>
      <c r="N44" s="112">
        <v>-0.21569472668873199</v>
      </c>
      <c r="O44" s="107">
        <v>5.3117049237778202</v>
      </c>
      <c r="P44" s="108">
        <v>2.3755186721991701</v>
      </c>
      <c r="Q44" s="109">
        <v>1.13895216400911E-2</v>
      </c>
      <c r="R44" s="106">
        <v>0.43507972665148098</v>
      </c>
    </row>
    <row r="45" spans="2:18" ht="15.75" customHeight="1" x14ac:dyDescent="0.3">
      <c r="B45" s="90" t="s">
        <v>193</v>
      </c>
      <c r="C45" s="91">
        <v>55017.43</v>
      </c>
      <c r="D45" s="91">
        <v>43641.8</v>
      </c>
      <c r="E45" s="92">
        <v>-11042.43</v>
      </c>
      <c r="F45" s="93">
        <v>-333.2</v>
      </c>
      <c r="G45" s="94">
        <v>6945</v>
      </c>
      <c r="H45" s="91">
        <v>7700</v>
      </c>
      <c r="I45" s="91">
        <v>22960</v>
      </c>
      <c r="J45" s="93">
        <v>19365.1835690593</v>
      </c>
      <c r="K45" s="94">
        <v>251</v>
      </c>
      <c r="L45" s="93">
        <v>2133.5</v>
      </c>
      <c r="M45" s="95">
        <v>14443.1164309407</v>
      </c>
      <c r="N45" s="96">
        <v>0.26251892229318402</v>
      </c>
      <c r="O45" s="97">
        <v>7.92187616990641</v>
      </c>
      <c r="P45" s="98">
        <v>2.9818181818181801</v>
      </c>
      <c r="Q45" s="99">
        <v>2.1886249100071899E-2</v>
      </c>
      <c r="R45" s="100">
        <v>0.40777537796976199</v>
      </c>
    </row>
    <row r="46" spans="2:18" ht="15.75" customHeight="1" x14ac:dyDescent="0.3">
      <c r="B46" s="101" t="s">
        <v>194</v>
      </c>
      <c r="C46" s="102">
        <v>27741.09</v>
      </c>
      <c r="D46" s="102">
        <v>19420.71</v>
      </c>
      <c r="E46" s="103">
        <v>-7138.38</v>
      </c>
      <c r="F46" s="103">
        <v>-1182</v>
      </c>
      <c r="G46" s="104">
        <v>5932</v>
      </c>
      <c r="H46" s="102">
        <v>5540</v>
      </c>
      <c r="I46" s="102">
        <v>13400</v>
      </c>
      <c r="J46" s="103">
        <v>9764.38376448692</v>
      </c>
      <c r="K46" s="104">
        <v>126</v>
      </c>
      <c r="L46" s="103">
        <v>1071</v>
      </c>
      <c r="M46" s="105">
        <v>3045.3262355130801</v>
      </c>
      <c r="N46" s="106">
        <v>0.109776733196608</v>
      </c>
      <c r="O46" s="107">
        <v>4.6765155091031696</v>
      </c>
      <c r="P46" s="108">
        <v>2.4187725631768999</v>
      </c>
      <c r="Q46" s="109">
        <v>1.6014834794335801E-2</v>
      </c>
      <c r="R46" s="106">
        <v>0.43577208361429498</v>
      </c>
    </row>
    <row r="47" spans="2:18" ht="15.75" customHeight="1" x14ac:dyDescent="0.3">
      <c r="B47" s="90" t="s">
        <v>195</v>
      </c>
      <c r="C47" s="91">
        <v>40410.44</v>
      </c>
      <c r="D47" s="91">
        <v>31914.92</v>
      </c>
      <c r="E47" s="93">
        <v>-8203.67</v>
      </c>
      <c r="F47" s="93">
        <v>-291.85000000000002</v>
      </c>
      <c r="G47" s="94">
        <v>6403</v>
      </c>
      <c r="H47" s="91">
        <v>6050</v>
      </c>
      <c r="I47" s="91">
        <v>15280</v>
      </c>
      <c r="J47" s="93">
        <v>14223.775787172501</v>
      </c>
      <c r="K47" s="94">
        <v>184</v>
      </c>
      <c r="L47" s="93">
        <v>1564</v>
      </c>
      <c r="M47" s="113">
        <v>10077.144212827499</v>
      </c>
      <c r="N47" s="100">
        <v>0.24936982158144</v>
      </c>
      <c r="O47" s="97">
        <v>6.3111728877088904</v>
      </c>
      <c r="P47" s="98">
        <v>2.5256198347107399</v>
      </c>
      <c r="Q47" s="99">
        <v>1.8585038263314001E-2</v>
      </c>
      <c r="R47" s="100">
        <v>0.42511322817429298</v>
      </c>
    </row>
    <row r="48" spans="2:18" ht="15.75" customHeight="1" x14ac:dyDescent="0.3">
      <c r="B48" s="101" t="s">
        <v>196</v>
      </c>
      <c r="C48" s="102">
        <v>51689.09</v>
      </c>
      <c r="D48" s="102">
        <v>47888.39</v>
      </c>
      <c r="E48" s="103">
        <v>-3677.7</v>
      </c>
      <c r="F48" s="103">
        <v>-123</v>
      </c>
      <c r="G48" s="104">
        <v>6646</v>
      </c>
      <c r="H48" s="102">
        <v>8120</v>
      </c>
      <c r="I48" s="102">
        <v>22940</v>
      </c>
      <c r="J48" s="103">
        <v>18193.665468700201</v>
      </c>
      <c r="K48" s="104">
        <v>236</v>
      </c>
      <c r="L48" s="103">
        <v>2006</v>
      </c>
      <c r="M48" s="95">
        <v>19568.724531299798</v>
      </c>
      <c r="N48" s="96">
        <v>0.37858520108014798</v>
      </c>
      <c r="O48" s="107">
        <v>7.7774736683719503</v>
      </c>
      <c r="P48" s="108">
        <v>2.8251231527093599</v>
      </c>
      <c r="Q48" s="109">
        <v>2.0012037315678601E-2</v>
      </c>
      <c r="R48" s="106">
        <v>0.39662955160999103</v>
      </c>
    </row>
    <row r="49" spans="2:18" ht="15.75" customHeight="1" x14ac:dyDescent="0.3">
      <c r="B49" s="90" t="s">
        <v>197</v>
      </c>
      <c r="C49" s="91">
        <v>35722.78</v>
      </c>
      <c r="D49" s="91">
        <v>33798.980000000003</v>
      </c>
      <c r="E49" s="93">
        <v>-1884</v>
      </c>
      <c r="F49" s="93">
        <v>-39.799999999999997</v>
      </c>
      <c r="G49" s="94">
        <v>5955</v>
      </c>
      <c r="H49" s="91">
        <v>6360</v>
      </c>
      <c r="I49" s="91">
        <v>16440</v>
      </c>
      <c r="J49" s="93">
        <v>12573.800562787501</v>
      </c>
      <c r="K49" s="94">
        <v>163</v>
      </c>
      <c r="L49" s="93">
        <v>1385.5</v>
      </c>
      <c r="M49" s="95">
        <v>13479.6794372125</v>
      </c>
      <c r="N49" s="96">
        <v>0.37734127739253598</v>
      </c>
      <c r="O49" s="97">
        <v>5.9987875734676699</v>
      </c>
      <c r="P49" s="98">
        <v>2.5849056603773599</v>
      </c>
      <c r="Q49" s="99">
        <v>1.9143576826196398E-2</v>
      </c>
      <c r="R49" s="100">
        <v>0.42837951301427402</v>
      </c>
    </row>
    <row r="50" spans="2:18" ht="15.75" customHeight="1" x14ac:dyDescent="0.3">
      <c r="B50" s="101" t="s">
        <v>198</v>
      </c>
      <c r="C50" s="102">
        <v>34395.879999999997</v>
      </c>
      <c r="D50" s="102">
        <v>23410.19</v>
      </c>
      <c r="E50" s="92">
        <v>-10905.99</v>
      </c>
      <c r="F50" s="103">
        <v>-79.7</v>
      </c>
      <c r="G50" s="104">
        <v>7347</v>
      </c>
      <c r="H50" s="102">
        <v>5950</v>
      </c>
      <c r="I50" s="102">
        <v>14880</v>
      </c>
      <c r="J50" s="103">
        <v>12106.7547179019</v>
      </c>
      <c r="K50" s="104">
        <v>157</v>
      </c>
      <c r="L50" s="103">
        <v>1334.5</v>
      </c>
      <c r="M50" s="105">
        <v>4018.9352820981298</v>
      </c>
      <c r="N50" s="106">
        <v>0.116843508062539</v>
      </c>
      <c r="O50" s="107">
        <v>4.6816224309241896</v>
      </c>
      <c r="P50" s="108">
        <v>2.5008403361344498</v>
      </c>
      <c r="Q50" s="109">
        <v>1.4019327616714299E-2</v>
      </c>
      <c r="R50" s="106">
        <v>0.435143596025589</v>
      </c>
    </row>
    <row r="51" spans="2:18" ht="15.75" customHeight="1" x14ac:dyDescent="0.3">
      <c r="B51" s="90" t="s">
        <v>133</v>
      </c>
      <c r="C51" s="91">
        <v>81634.52</v>
      </c>
      <c r="D51" s="91">
        <v>67291</v>
      </c>
      <c r="E51" s="92">
        <v>-14015.72</v>
      </c>
      <c r="F51" s="93">
        <v>-327.8</v>
      </c>
      <c r="G51" s="94">
        <v>9291</v>
      </c>
      <c r="H51" s="110">
        <v>10500</v>
      </c>
      <c r="I51" s="91">
        <v>38400</v>
      </c>
      <c r="J51" s="93">
        <v>28733.9387785297</v>
      </c>
      <c r="K51" s="94">
        <v>372</v>
      </c>
      <c r="L51" s="93">
        <v>3162</v>
      </c>
      <c r="M51" s="95">
        <v>24895.0612214703</v>
      </c>
      <c r="N51" s="96">
        <v>0.30495752558440098</v>
      </c>
      <c r="O51" s="97">
        <v>8.7864083521687704</v>
      </c>
      <c r="P51" s="98">
        <v>3.6571428571428601</v>
      </c>
      <c r="Q51" s="99">
        <v>4.0469271337853802E-2</v>
      </c>
      <c r="R51" s="100">
        <v>0.38714885372941599</v>
      </c>
    </row>
    <row r="52" spans="2:18" ht="15.75" customHeight="1" x14ac:dyDescent="0.3">
      <c r="B52" s="101" t="s">
        <v>199</v>
      </c>
      <c r="C52" s="102">
        <v>61408.27</v>
      </c>
      <c r="D52" s="102">
        <v>53626.64</v>
      </c>
      <c r="E52" s="103">
        <v>-7659.03</v>
      </c>
      <c r="F52" s="103">
        <v>-122.6</v>
      </c>
      <c r="G52" s="104">
        <v>6956</v>
      </c>
      <c r="H52" s="102">
        <v>8550</v>
      </c>
      <c r="I52" s="102">
        <v>27350</v>
      </c>
      <c r="J52" s="103">
        <v>21614.6486887584</v>
      </c>
      <c r="K52" s="104">
        <v>280</v>
      </c>
      <c r="L52" s="103">
        <v>2380</v>
      </c>
      <c r="M52" s="95">
        <v>21081.9913112416</v>
      </c>
      <c r="N52" s="96">
        <v>0.34330866691475898</v>
      </c>
      <c r="O52" s="107">
        <v>8.8281009200690104</v>
      </c>
      <c r="P52" s="108">
        <v>3.1988304093567299</v>
      </c>
      <c r="Q52" s="109">
        <v>2.8464634847613499E-2</v>
      </c>
      <c r="R52" s="106">
        <v>0.40209890741805598</v>
      </c>
    </row>
    <row r="53" spans="2:18" ht="15.75" customHeight="1" x14ac:dyDescent="0.3">
      <c r="B53" s="90" t="s">
        <v>200</v>
      </c>
      <c r="C53" s="91">
        <v>34016.629999999997</v>
      </c>
      <c r="D53" s="91">
        <v>24624.29</v>
      </c>
      <c r="E53" s="93">
        <v>-9270.34</v>
      </c>
      <c r="F53" s="93">
        <v>-122</v>
      </c>
      <c r="G53" s="94">
        <v>6842</v>
      </c>
      <c r="H53" s="91">
        <v>6460</v>
      </c>
      <c r="I53" s="91">
        <v>16850</v>
      </c>
      <c r="J53" s="93">
        <v>11973.2652788538</v>
      </c>
      <c r="K53" s="94">
        <v>155</v>
      </c>
      <c r="L53" s="93">
        <v>1317.5</v>
      </c>
      <c r="M53" s="113">
        <v>4873.5247211461901</v>
      </c>
      <c r="N53" s="100">
        <v>0.14326888704572399</v>
      </c>
      <c r="O53" s="97">
        <v>4.9717377959660896</v>
      </c>
      <c r="P53" s="98">
        <v>2.6083591331269398</v>
      </c>
      <c r="Q53" s="99">
        <v>1.6954106986261298E-2</v>
      </c>
      <c r="R53" s="100">
        <v>0.40704472376498102</v>
      </c>
    </row>
    <row r="54" spans="2:18" ht="15.75" customHeight="1" x14ac:dyDescent="0.3">
      <c r="B54" s="101" t="s">
        <v>201</v>
      </c>
      <c r="C54" s="102">
        <v>30134.6</v>
      </c>
      <c r="D54" s="102">
        <v>20779.39</v>
      </c>
      <c r="E54" s="103">
        <v>-9275.81</v>
      </c>
      <c r="F54" s="103">
        <v>-79.400000000000006</v>
      </c>
      <c r="G54" s="104">
        <v>6728</v>
      </c>
      <c r="H54" s="102">
        <v>6050</v>
      </c>
      <c r="I54" s="102">
        <v>15260</v>
      </c>
      <c r="J54" s="103">
        <v>10606.857877225</v>
      </c>
      <c r="K54" s="104">
        <v>137</v>
      </c>
      <c r="L54" s="103">
        <v>1164.5</v>
      </c>
      <c r="M54" s="105">
        <v>2958.0321227750001</v>
      </c>
      <c r="N54" s="106">
        <v>9.8160656613162298E-2</v>
      </c>
      <c r="O54" s="107">
        <v>4.4789833531510101</v>
      </c>
      <c r="P54" s="108">
        <v>2.5223140495867802</v>
      </c>
      <c r="Q54" s="109">
        <v>1.7687277051129598E-2</v>
      </c>
      <c r="R54" s="106">
        <v>0.407550535077289</v>
      </c>
    </row>
    <row r="55" spans="2:18" ht="15.75" customHeight="1" x14ac:dyDescent="0.3">
      <c r="B55" s="90" t="s">
        <v>202</v>
      </c>
      <c r="C55" s="91">
        <v>32516.19</v>
      </c>
      <c r="D55" s="91">
        <v>30644.84</v>
      </c>
      <c r="E55" s="93">
        <v>-1759.4</v>
      </c>
      <c r="F55" s="93">
        <v>-111.95</v>
      </c>
      <c r="G55" s="94">
        <v>6021</v>
      </c>
      <c r="H55" s="91">
        <v>6880</v>
      </c>
      <c r="I55" s="91">
        <v>17850</v>
      </c>
      <c r="J55" s="93">
        <v>11445.136356176799</v>
      </c>
      <c r="K55" s="94">
        <v>148</v>
      </c>
      <c r="L55" s="93">
        <v>1258</v>
      </c>
      <c r="M55" s="95">
        <v>11061.703643823201</v>
      </c>
      <c r="N55" s="96">
        <v>0.34019064483948502</v>
      </c>
      <c r="O55" s="97">
        <v>5.4004633781763802</v>
      </c>
      <c r="P55" s="98">
        <v>2.5944767441860499</v>
      </c>
      <c r="Q55" s="99">
        <v>1.56120245806344E-2</v>
      </c>
      <c r="R55" s="100">
        <v>0.39794054143829899</v>
      </c>
    </row>
    <row r="56" spans="2:18" ht="15.75" customHeight="1" x14ac:dyDescent="0.3">
      <c r="B56" s="101" t="s">
        <v>203</v>
      </c>
      <c r="C56" s="102">
        <v>28995.24</v>
      </c>
      <c r="D56" s="102">
        <v>28302.240000000002</v>
      </c>
      <c r="E56" s="103">
        <v>-681.6</v>
      </c>
      <c r="F56" s="103">
        <v>-11.4</v>
      </c>
      <c r="G56" s="104">
        <v>5434</v>
      </c>
      <c r="H56" s="102">
        <v>6360</v>
      </c>
      <c r="I56" s="102">
        <v>15960</v>
      </c>
      <c r="J56" s="103">
        <v>10205.822867933501</v>
      </c>
      <c r="K56" s="104">
        <v>132</v>
      </c>
      <c r="L56" s="103">
        <v>1122</v>
      </c>
      <c r="M56" s="95">
        <v>10614.417132066499</v>
      </c>
      <c r="N56" s="96">
        <v>0.36607447057056602</v>
      </c>
      <c r="O56" s="107">
        <v>5.3358925285241101</v>
      </c>
      <c r="P56" s="108">
        <v>2.5094339622641502</v>
      </c>
      <c r="Q56" s="109">
        <v>2.2635259477364701E-2</v>
      </c>
      <c r="R56" s="106">
        <v>0.369709238130291</v>
      </c>
    </row>
    <row r="57" spans="2:18" ht="15.75" customHeight="1" x14ac:dyDescent="0.3">
      <c r="B57" s="90" t="s">
        <v>204</v>
      </c>
      <c r="C57" s="91">
        <v>28218.47</v>
      </c>
      <c r="D57" s="91">
        <v>16561.849999999999</v>
      </c>
      <c r="E57" s="92">
        <v>-11596.57</v>
      </c>
      <c r="F57" s="93">
        <v>-60.05</v>
      </c>
      <c r="G57" s="94">
        <v>6321</v>
      </c>
      <c r="H57" s="91">
        <v>5690</v>
      </c>
      <c r="I57" s="91">
        <v>13810</v>
      </c>
      <c r="J57" s="93">
        <v>9932.4132659048901</v>
      </c>
      <c r="K57" s="94">
        <v>129</v>
      </c>
      <c r="L57" s="93">
        <v>1096.5</v>
      </c>
      <c r="M57" s="111">
        <v>-157.06326590488601</v>
      </c>
      <c r="N57" s="112">
        <v>-5.5659738428371899E-3</v>
      </c>
      <c r="O57" s="97">
        <v>4.46424141749723</v>
      </c>
      <c r="P57" s="98">
        <v>2.4270650263620399</v>
      </c>
      <c r="Q57" s="99">
        <v>1.9933554817275701E-2</v>
      </c>
      <c r="R57" s="100">
        <v>0.37921214997627001</v>
      </c>
    </row>
    <row r="58" spans="2:18" ht="15.75" customHeight="1" x14ac:dyDescent="0.3">
      <c r="B58" s="101" t="s">
        <v>205</v>
      </c>
      <c r="C58" s="102">
        <v>18644.16</v>
      </c>
      <c r="D58" s="102">
        <v>15419.75</v>
      </c>
      <c r="E58" s="103">
        <v>-3154.81</v>
      </c>
      <c r="F58" s="103">
        <v>-69.599999999999994</v>
      </c>
      <c r="G58" s="104">
        <v>3881</v>
      </c>
      <c r="H58" s="102">
        <v>4820</v>
      </c>
      <c r="I58" s="102">
        <v>11310</v>
      </c>
      <c r="J58" s="103">
        <v>6562.4217796235298</v>
      </c>
      <c r="K58" s="104">
        <v>85</v>
      </c>
      <c r="L58" s="103">
        <v>722.5</v>
      </c>
      <c r="M58" s="105">
        <v>3314.8282203764702</v>
      </c>
      <c r="N58" s="106">
        <v>0.177794452545809</v>
      </c>
      <c r="O58" s="107">
        <v>4.8039577428497804</v>
      </c>
      <c r="P58" s="108">
        <v>2.3464730290456401</v>
      </c>
      <c r="Q58" s="109">
        <v>1.4686936356609099E-2</v>
      </c>
      <c r="R58" s="106">
        <v>0.404277248131925</v>
      </c>
    </row>
    <row r="59" spans="2:18" ht="15.75" customHeight="1" x14ac:dyDescent="0.3">
      <c r="B59" s="90" t="s">
        <v>206</v>
      </c>
      <c r="C59" s="91">
        <v>26353.89</v>
      </c>
      <c r="D59" s="91">
        <v>18598.560000000001</v>
      </c>
      <c r="E59" s="93">
        <v>-7461.63</v>
      </c>
      <c r="F59" s="93">
        <v>-293.7</v>
      </c>
      <c r="G59" s="94">
        <v>6099</v>
      </c>
      <c r="H59" s="91">
        <v>5950</v>
      </c>
      <c r="I59" s="91">
        <v>14800</v>
      </c>
      <c r="J59" s="93">
        <v>9276.1133627797008</v>
      </c>
      <c r="K59" s="94">
        <v>120</v>
      </c>
      <c r="L59" s="93">
        <v>1020</v>
      </c>
      <c r="M59" s="113">
        <v>2352.4466372203001</v>
      </c>
      <c r="N59" s="100">
        <v>8.9263734394440505E-2</v>
      </c>
      <c r="O59" s="97">
        <v>4.32101819970487</v>
      </c>
      <c r="P59" s="98">
        <v>2.4873949579831902</v>
      </c>
      <c r="Q59" s="99">
        <v>1.7543859649122799E-2</v>
      </c>
      <c r="R59" s="100">
        <v>0.38202984095753401</v>
      </c>
    </row>
    <row r="60" spans="2:18" ht="15.75" customHeight="1" x14ac:dyDescent="0.3">
      <c r="B60" s="101" t="s">
        <v>207</v>
      </c>
      <c r="C60" s="102">
        <v>29392</v>
      </c>
      <c r="D60" s="102">
        <v>22586.39</v>
      </c>
      <c r="E60" s="103">
        <v>-6664.41</v>
      </c>
      <c r="F60" s="103">
        <v>-141.19999999999999</v>
      </c>
      <c r="G60" s="104">
        <v>5737</v>
      </c>
      <c r="H60" s="102">
        <v>6050</v>
      </c>
      <c r="I60" s="102">
        <v>15060</v>
      </c>
      <c r="J60" s="103">
        <v>10345.475524062</v>
      </c>
      <c r="K60" s="104">
        <v>134</v>
      </c>
      <c r="L60" s="103">
        <v>1139</v>
      </c>
      <c r="M60" s="105">
        <v>5051.9144759380497</v>
      </c>
      <c r="N60" s="106">
        <v>0.17188059594236699</v>
      </c>
      <c r="O60" s="107">
        <v>5.1232351403172398</v>
      </c>
      <c r="P60" s="108">
        <v>2.48925619834711</v>
      </c>
      <c r="Q60" s="109">
        <v>1.5861948753703999E-2</v>
      </c>
      <c r="R60" s="106">
        <v>0.38434721980129</v>
      </c>
    </row>
    <row r="61" spans="2:18" ht="15.75" customHeight="1" x14ac:dyDescent="0.3">
      <c r="B61" s="90" t="s">
        <v>208</v>
      </c>
      <c r="C61" s="91">
        <v>38738.080000000002</v>
      </c>
      <c r="D61" s="91">
        <v>32262.04</v>
      </c>
      <c r="E61" s="93">
        <v>-6399.39</v>
      </c>
      <c r="F61" s="93">
        <v>-76.650000000000006</v>
      </c>
      <c r="G61" s="94">
        <v>6254</v>
      </c>
      <c r="H61" s="91">
        <v>6770</v>
      </c>
      <c r="I61" s="91">
        <v>17340</v>
      </c>
      <c r="J61" s="93">
        <v>13635.1339986783</v>
      </c>
      <c r="K61" s="94">
        <v>177</v>
      </c>
      <c r="L61" s="93">
        <v>1504.5</v>
      </c>
      <c r="M61" s="95">
        <v>10352.4060013217</v>
      </c>
      <c r="N61" s="96">
        <v>0.26724107135205599</v>
      </c>
      <c r="O61" s="97">
        <v>6.1941285577230598</v>
      </c>
      <c r="P61" s="98">
        <v>2.5612998522895101</v>
      </c>
      <c r="Q61" s="99">
        <v>1.8867924528301799E-2</v>
      </c>
      <c r="R61" s="100">
        <v>0.41541413495363</v>
      </c>
    </row>
    <row r="62" spans="2:18" ht="15.75" customHeight="1" x14ac:dyDescent="0.3">
      <c r="B62" s="101" t="s">
        <v>209</v>
      </c>
      <c r="C62" s="102">
        <v>41404.35</v>
      </c>
      <c r="D62" s="102">
        <v>39003.1</v>
      </c>
      <c r="E62" s="103">
        <v>-2323</v>
      </c>
      <c r="F62" s="103">
        <v>-78.25</v>
      </c>
      <c r="G62" s="104">
        <v>6664</v>
      </c>
      <c r="H62" s="102">
        <v>7390</v>
      </c>
      <c r="I62" s="102">
        <v>19620</v>
      </c>
      <c r="J62" s="103">
        <v>14573.614912720999</v>
      </c>
      <c r="K62" s="104">
        <v>189</v>
      </c>
      <c r="L62" s="103">
        <v>1606.5</v>
      </c>
      <c r="M62" s="95">
        <v>15432.985087278999</v>
      </c>
      <c r="N62" s="96">
        <v>0.37273825304053898</v>
      </c>
      <c r="O62" s="107">
        <v>6.2131377551020401</v>
      </c>
      <c r="P62" s="108">
        <v>2.65493910690122</v>
      </c>
      <c r="Q62" s="109">
        <v>2.34093637454982E-2</v>
      </c>
      <c r="R62" s="106">
        <v>0.38415366146458602</v>
      </c>
    </row>
    <row r="63" spans="2:18" ht="15.75" customHeight="1" x14ac:dyDescent="0.3">
      <c r="B63" s="90" t="s">
        <v>210</v>
      </c>
      <c r="C63" s="91">
        <v>27766.400000000001</v>
      </c>
      <c r="D63" s="91">
        <v>26540.400000000001</v>
      </c>
      <c r="E63" s="93">
        <v>-1226</v>
      </c>
      <c r="F63" s="93">
        <v>0</v>
      </c>
      <c r="G63" s="94">
        <v>6224</v>
      </c>
      <c r="H63" s="91">
        <v>6360</v>
      </c>
      <c r="I63" s="91">
        <v>16360</v>
      </c>
      <c r="J63" s="93">
        <v>9773.2924466288005</v>
      </c>
      <c r="K63" s="94">
        <v>127</v>
      </c>
      <c r="L63" s="93">
        <v>1079.5</v>
      </c>
      <c r="M63" s="95">
        <v>9327.6075533711992</v>
      </c>
      <c r="N63" s="96">
        <v>0.33593146945125102</v>
      </c>
      <c r="O63" s="97">
        <v>4.4611825192802099</v>
      </c>
      <c r="P63" s="98">
        <v>2.57232704402516</v>
      </c>
      <c r="Q63" s="99">
        <v>1.7352185089974201E-2</v>
      </c>
      <c r="R63" s="100">
        <v>0.398778920308483</v>
      </c>
    </row>
    <row r="64" spans="2:18" ht="15.75" customHeight="1" x14ac:dyDescent="0.3">
      <c r="B64" s="101" t="s">
        <v>211</v>
      </c>
      <c r="C64" s="102">
        <v>54702.71</v>
      </c>
      <c r="D64" s="102">
        <v>44898.25</v>
      </c>
      <c r="E64" s="103">
        <v>-9804.4599999999991</v>
      </c>
      <c r="F64" s="103">
        <v>0</v>
      </c>
      <c r="G64" s="104">
        <v>8619</v>
      </c>
      <c r="H64" s="102">
        <v>9150</v>
      </c>
      <c r="I64" s="102">
        <v>26000</v>
      </c>
      <c r="J64" s="103">
        <v>19254.407573654698</v>
      </c>
      <c r="K64" s="104">
        <v>249</v>
      </c>
      <c r="L64" s="103">
        <v>2116.5</v>
      </c>
      <c r="M64" s="95">
        <v>14377.3424263453</v>
      </c>
      <c r="N64" s="96">
        <v>0.26282687688316198</v>
      </c>
      <c r="O64" s="107">
        <v>6.3467583246316304</v>
      </c>
      <c r="P64" s="108">
        <v>2.8415300546448101</v>
      </c>
      <c r="Q64" s="109">
        <v>2.3088525350968701E-2</v>
      </c>
      <c r="R64" s="106">
        <v>0.32973662837916201</v>
      </c>
    </row>
    <row r="65" spans="2:18" ht="15.75" customHeight="1" x14ac:dyDescent="0.3">
      <c r="B65" s="90" t="s">
        <v>212</v>
      </c>
      <c r="C65" s="91">
        <v>38083.74</v>
      </c>
      <c r="D65" s="91">
        <v>31390.19</v>
      </c>
      <c r="E65" s="93">
        <v>-6509.8</v>
      </c>
      <c r="F65" s="93">
        <v>-183.75</v>
      </c>
      <c r="G65" s="94">
        <v>7097</v>
      </c>
      <c r="H65" s="91">
        <v>6880</v>
      </c>
      <c r="I65" s="91">
        <v>17610</v>
      </c>
      <c r="J65" s="93">
        <v>13404.8176386343</v>
      </c>
      <c r="K65" s="94">
        <v>174</v>
      </c>
      <c r="L65" s="93">
        <v>1479</v>
      </c>
      <c r="M65" s="95">
        <v>9626.3723613657094</v>
      </c>
      <c r="N65" s="96">
        <v>0.25276856635839101</v>
      </c>
      <c r="O65" s="97">
        <v>5.3661744399041797</v>
      </c>
      <c r="P65" s="98">
        <v>2.5595930232558102</v>
      </c>
      <c r="Q65" s="99">
        <v>2.2122023390164801E-2</v>
      </c>
      <c r="R65" s="100">
        <v>0.37057911793715698</v>
      </c>
    </row>
    <row r="66" spans="2:18" ht="15.75" customHeight="1" x14ac:dyDescent="0.3">
      <c r="B66" s="101" t="s">
        <v>213</v>
      </c>
      <c r="C66" s="102">
        <v>46031.83</v>
      </c>
      <c r="D66" s="102">
        <v>39248.04</v>
      </c>
      <c r="E66" s="103">
        <v>-6753.79</v>
      </c>
      <c r="F66" s="103">
        <v>-30</v>
      </c>
      <c r="G66" s="104">
        <v>7555</v>
      </c>
      <c r="H66" s="102">
        <v>7500</v>
      </c>
      <c r="I66" s="102">
        <v>19900</v>
      </c>
      <c r="J66" s="103">
        <v>16202.407818208399</v>
      </c>
      <c r="K66" s="104">
        <v>210</v>
      </c>
      <c r="L66" s="103">
        <v>1785</v>
      </c>
      <c r="M66" s="95">
        <v>13760.6321817916</v>
      </c>
      <c r="N66" s="96">
        <v>0.29893732623255798</v>
      </c>
      <c r="O66" s="107">
        <v>6.0928960953011302</v>
      </c>
      <c r="P66" s="108">
        <v>2.6533333333333302</v>
      </c>
      <c r="Q66" s="109">
        <v>2.21045665122435E-2</v>
      </c>
      <c r="R66" s="106">
        <v>0.33726009265387202</v>
      </c>
    </row>
    <row r="67" spans="2:18" ht="15.75" customHeight="1" x14ac:dyDescent="0.3">
      <c r="B67" s="90" t="s">
        <v>214</v>
      </c>
      <c r="C67" s="91">
        <v>32411.35</v>
      </c>
      <c r="D67" s="91">
        <v>27409.81</v>
      </c>
      <c r="E67" s="93">
        <v>-4877.34</v>
      </c>
      <c r="F67" s="93">
        <v>-124.2</v>
      </c>
      <c r="G67" s="94">
        <v>6569</v>
      </c>
      <c r="H67" s="91">
        <v>6460</v>
      </c>
      <c r="I67" s="91">
        <v>16630</v>
      </c>
      <c r="J67" s="93">
        <v>11408.2344898886</v>
      </c>
      <c r="K67" s="94">
        <v>148</v>
      </c>
      <c r="L67" s="93">
        <v>1258</v>
      </c>
      <c r="M67" s="95">
        <v>8283.5755101114191</v>
      </c>
      <c r="N67" s="96">
        <v>0.25557638019124201</v>
      </c>
      <c r="O67" s="97">
        <v>4.9339853859034903</v>
      </c>
      <c r="P67" s="98">
        <v>2.5743034055727598</v>
      </c>
      <c r="Q67" s="99">
        <v>1.6897549094230399E-2</v>
      </c>
      <c r="R67" s="100">
        <v>0.36139442837570401</v>
      </c>
    </row>
    <row r="68" spans="2:18" ht="15.75" customHeight="1" x14ac:dyDescent="0.3">
      <c r="B68" s="101" t="s">
        <v>215</v>
      </c>
      <c r="C68" s="102">
        <v>45151.69</v>
      </c>
      <c r="D68" s="102">
        <v>38655.78</v>
      </c>
      <c r="E68" s="103">
        <v>-6374.16</v>
      </c>
      <c r="F68" s="103">
        <v>-121.75</v>
      </c>
      <c r="G68" s="104">
        <v>8148</v>
      </c>
      <c r="H68" s="102">
        <v>7920</v>
      </c>
      <c r="I68" s="102">
        <v>20920</v>
      </c>
      <c r="J68" s="103">
        <v>15892.613764460801</v>
      </c>
      <c r="K68" s="104">
        <v>206</v>
      </c>
      <c r="L68" s="103">
        <v>1751</v>
      </c>
      <c r="M68" s="95">
        <v>13092.1662355392</v>
      </c>
      <c r="N68" s="96">
        <v>0.28995960584286401</v>
      </c>
      <c r="O68" s="107">
        <v>5.5414445262641099</v>
      </c>
      <c r="P68" s="108">
        <v>2.6414141414141401</v>
      </c>
      <c r="Q68" s="109">
        <v>3.3873343151693602E-2</v>
      </c>
      <c r="R68" s="106">
        <v>0.37457044673539502</v>
      </c>
    </row>
    <row r="69" spans="2:18" ht="15.75" customHeight="1" x14ac:dyDescent="0.3">
      <c r="B69" s="90" t="s">
        <v>216</v>
      </c>
      <c r="C69" s="91">
        <v>35665.300000000003</v>
      </c>
      <c r="D69" s="91">
        <v>33241.300000000003</v>
      </c>
      <c r="E69" s="93">
        <v>-2374</v>
      </c>
      <c r="F69" s="93">
        <v>-50</v>
      </c>
      <c r="G69" s="94">
        <v>6912</v>
      </c>
      <c r="H69" s="91">
        <v>7090</v>
      </c>
      <c r="I69" s="91">
        <v>18190</v>
      </c>
      <c r="J69" s="93">
        <v>12553.5685971804</v>
      </c>
      <c r="K69" s="94">
        <v>163</v>
      </c>
      <c r="L69" s="93">
        <v>1385.5</v>
      </c>
      <c r="M69" s="95">
        <v>12212.2314028196</v>
      </c>
      <c r="N69" s="96">
        <v>0.34241213175886898</v>
      </c>
      <c r="O69" s="97">
        <v>5.1599103009259304</v>
      </c>
      <c r="P69" s="98">
        <v>2.5655853314527501</v>
      </c>
      <c r="Q69" s="99">
        <v>2.2135416666666598E-2</v>
      </c>
      <c r="R69" s="100">
        <v>0.47077546296296302</v>
      </c>
    </row>
    <row r="70" spans="2:18" ht="15.75" customHeight="1" x14ac:dyDescent="0.3">
      <c r="B70" s="101" t="s">
        <v>217</v>
      </c>
      <c r="C70" s="102">
        <v>21127.5</v>
      </c>
      <c r="D70" s="102">
        <v>20743</v>
      </c>
      <c r="E70" s="103">
        <v>-348</v>
      </c>
      <c r="F70" s="103">
        <v>-36.5</v>
      </c>
      <c r="G70" s="104">
        <v>5913</v>
      </c>
      <c r="H70" s="102">
        <v>5950</v>
      </c>
      <c r="I70" s="102">
        <v>14800</v>
      </c>
      <c r="J70" s="103">
        <v>7436.5144983199098</v>
      </c>
      <c r="K70" s="104">
        <v>96</v>
      </c>
      <c r="L70" s="103">
        <v>816</v>
      </c>
      <c r="M70" s="95">
        <v>6540.4855016800902</v>
      </c>
      <c r="N70" s="96">
        <v>0.309572145387769</v>
      </c>
      <c r="O70" s="107">
        <v>3.5730593607305901</v>
      </c>
      <c r="P70" s="108">
        <v>2.4873949579831902</v>
      </c>
      <c r="Q70" s="109">
        <v>1.5220700152207001E-2</v>
      </c>
      <c r="R70" s="106">
        <v>0.41400304414002997</v>
      </c>
    </row>
    <row r="71" spans="2:18" ht="15.75" customHeight="1" x14ac:dyDescent="0.3">
      <c r="B71" s="90" t="s">
        <v>218</v>
      </c>
      <c r="C71" s="91">
        <v>31229.06</v>
      </c>
      <c r="D71" s="91">
        <v>26591.82</v>
      </c>
      <c r="E71" s="93">
        <v>-2004.24</v>
      </c>
      <c r="F71" s="93">
        <v>-2633</v>
      </c>
      <c r="G71" s="94">
        <v>6329</v>
      </c>
      <c r="H71" s="91">
        <v>6770</v>
      </c>
      <c r="I71" s="91">
        <v>17340</v>
      </c>
      <c r="J71" s="93">
        <v>10992.088863277801</v>
      </c>
      <c r="K71" s="94">
        <v>142</v>
      </c>
      <c r="L71" s="93">
        <v>1207</v>
      </c>
      <c r="M71" s="113">
        <v>7622.73113672217</v>
      </c>
      <c r="N71" s="100">
        <v>0.24409095684347101</v>
      </c>
      <c r="O71" s="97">
        <v>4.9342802970453503</v>
      </c>
      <c r="P71" s="98">
        <v>2.5612998522895101</v>
      </c>
      <c r="Q71" s="99">
        <v>2.27524095433717E-2</v>
      </c>
      <c r="R71" s="100">
        <v>0.37304471480486701</v>
      </c>
    </row>
    <row r="72" spans="2:18" ht="15.75" customHeight="1" x14ac:dyDescent="0.3">
      <c r="B72" s="101" t="s">
        <v>219</v>
      </c>
      <c r="C72" s="102">
        <v>39448.629999999997</v>
      </c>
      <c r="D72" s="102">
        <v>23847.79</v>
      </c>
      <c r="E72" s="103">
        <v>-8085.34</v>
      </c>
      <c r="F72" s="103">
        <v>-7515.5</v>
      </c>
      <c r="G72" s="104">
        <v>6419</v>
      </c>
      <c r="H72" s="102">
        <v>7390</v>
      </c>
      <c r="I72" s="102">
        <v>19620</v>
      </c>
      <c r="J72" s="103">
        <v>13885.235306300199</v>
      </c>
      <c r="K72" s="104">
        <v>180</v>
      </c>
      <c r="L72" s="103">
        <v>1530</v>
      </c>
      <c r="M72" s="105">
        <v>1042.5546936997901</v>
      </c>
      <c r="N72" s="106">
        <v>2.6428159702879098E-2</v>
      </c>
      <c r="O72" s="107">
        <v>6.1456036765851403</v>
      </c>
      <c r="P72" s="108">
        <v>2.65493910690122</v>
      </c>
      <c r="Q72" s="109">
        <v>1.6825050630939399E-2</v>
      </c>
      <c r="R72" s="106">
        <v>0.386197226982396</v>
      </c>
    </row>
    <row r="73" spans="2:18" ht="15.75" customHeight="1" x14ac:dyDescent="0.3">
      <c r="B73" s="90" t="s">
        <v>220</v>
      </c>
      <c r="C73" s="91">
        <v>42420</v>
      </c>
      <c r="D73" s="91">
        <v>33828.58</v>
      </c>
      <c r="E73" s="93">
        <v>-1868.86</v>
      </c>
      <c r="F73" s="93">
        <v>-6722.56</v>
      </c>
      <c r="G73" s="94">
        <v>6274</v>
      </c>
      <c r="H73" s="91">
        <v>8120</v>
      </c>
      <c r="I73" s="91">
        <v>21380</v>
      </c>
      <c r="J73" s="93">
        <v>14931.1061421716</v>
      </c>
      <c r="K73" s="94">
        <v>193</v>
      </c>
      <c r="L73" s="93">
        <v>1640.5</v>
      </c>
      <c r="M73" s="113">
        <v>9136.9738578283905</v>
      </c>
      <c r="N73" s="100">
        <v>0.215393065955408</v>
      </c>
      <c r="O73" s="97">
        <v>6.7612368504941003</v>
      </c>
      <c r="P73" s="98">
        <v>2.6330049261083799</v>
      </c>
      <c r="Q73" s="99">
        <v>1.8967166082244101E-2</v>
      </c>
      <c r="R73" s="100">
        <v>0.400063755180108</v>
      </c>
    </row>
    <row r="74" spans="2:18" ht="15.75" customHeight="1" x14ac:dyDescent="0.3">
      <c r="B74" s="101" t="s">
        <v>131</v>
      </c>
      <c r="C74" s="102">
        <v>63104.66</v>
      </c>
      <c r="D74" s="102">
        <v>58084.78</v>
      </c>
      <c r="E74" s="103">
        <v>-3651.18</v>
      </c>
      <c r="F74" s="103">
        <v>-1368.7</v>
      </c>
      <c r="G74" s="104">
        <v>7002</v>
      </c>
      <c r="H74" s="110">
        <v>12400</v>
      </c>
      <c r="I74" s="102">
        <v>35250</v>
      </c>
      <c r="J74" s="103">
        <v>22211.748621538201</v>
      </c>
      <c r="K74" s="104">
        <v>288</v>
      </c>
      <c r="L74" s="103">
        <v>2448</v>
      </c>
      <c r="M74" s="95">
        <v>21025.031378461801</v>
      </c>
      <c r="N74" s="96">
        <v>0.333177159633881</v>
      </c>
      <c r="O74" s="107">
        <v>9.0123764638674704</v>
      </c>
      <c r="P74" s="108">
        <v>2.8427419354838701</v>
      </c>
      <c r="Q74" s="109">
        <v>3.7417880605541201E-2</v>
      </c>
      <c r="R74" s="106">
        <v>0.36589545844044602</v>
      </c>
    </row>
    <row r="75" spans="2:18" ht="15.75" customHeight="1" x14ac:dyDescent="0.3">
      <c r="B75" s="90" t="s">
        <v>126</v>
      </c>
      <c r="C75" s="91">
        <v>48447.99</v>
      </c>
      <c r="D75" s="91">
        <v>43808.32</v>
      </c>
      <c r="E75" s="93">
        <v>-2975.77</v>
      </c>
      <c r="F75" s="93">
        <v>-1663.9</v>
      </c>
      <c r="G75" s="94">
        <v>7331</v>
      </c>
      <c r="H75" s="110">
        <v>15500</v>
      </c>
      <c r="I75" s="91">
        <v>46000</v>
      </c>
      <c r="J75" s="93">
        <v>17052.854339105801</v>
      </c>
      <c r="K75" s="94">
        <v>221</v>
      </c>
      <c r="L75" s="93">
        <v>1878.5</v>
      </c>
      <c r="M75" s="113">
        <v>9376.9656608941896</v>
      </c>
      <c r="N75" s="100">
        <v>0.193547052434873</v>
      </c>
      <c r="O75" s="97">
        <v>6.6086468421770599</v>
      </c>
      <c r="P75" s="98">
        <v>2.9677419354838701</v>
      </c>
      <c r="Q75" s="99">
        <v>2.5098895102987299E-2</v>
      </c>
      <c r="R75" s="100">
        <v>0.35179375255763201</v>
      </c>
    </row>
    <row r="76" spans="2:18" ht="15.75" customHeight="1" x14ac:dyDescent="0.3">
      <c r="B76" s="101" t="s">
        <v>221</v>
      </c>
      <c r="C76" s="102">
        <v>32383.74</v>
      </c>
      <c r="D76" s="102">
        <v>30534.84</v>
      </c>
      <c r="E76" s="103">
        <v>-1520.9</v>
      </c>
      <c r="F76" s="103">
        <v>-328</v>
      </c>
      <c r="G76" s="104">
        <v>5423</v>
      </c>
      <c r="H76" s="102">
        <v>10000</v>
      </c>
      <c r="I76" s="102">
        <v>27800</v>
      </c>
      <c r="J76" s="103">
        <v>11398.516247536299</v>
      </c>
      <c r="K76" s="104">
        <v>148</v>
      </c>
      <c r="L76" s="103">
        <v>1258</v>
      </c>
      <c r="M76" s="105">
        <v>7878.3237524637398</v>
      </c>
      <c r="N76" s="106">
        <v>0.24328023114265801</v>
      </c>
      <c r="O76" s="107">
        <v>5.9715544901346096</v>
      </c>
      <c r="P76" s="108">
        <v>2.78</v>
      </c>
      <c r="Q76" s="109">
        <v>1.9546376544348099E-2</v>
      </c>
      <c r="R76" s="106">
        <v>0.38816153420615901</v>
      </c>
    </row>
    <row r="77" spans="2:18" ht="15.75" customHeight="1" x14ac:dyDescent="0.3">
      <c r="B77" s="90" t="s">
        <v>222</v>
      </c>
      <c r="C77" s="91">
        <v>18994.88</v>
      </c>
      <c r="D77" s="91">
        <v>18559.88</v>
      </c>
      <c r="E77" s="93">
        <v>-312</v>
      </c>
      <c r="F77" s="93">
        <v>-123</v>
      </c>
      <c r="G77" s="94">
        <v>5216</v>
      </c>
      <c r="H77" s="91">
        <v>7400</v>
      </c>
      <c r="I77" s="91">
        <v>19620</v>
      </c>
      <c r="J77" s="93">
        <v>6685.86915223509</v>
      </c>
      <c r="K77" s="94">
        <v>87</v>
      </c>
      <c r="L77" s="93">
        <v>739.5</v>
      </c>
      <c r="M77" s="113">
        <v>3734.5108477649101</v>
      </c>
      <c r="N77" s="100">
        <v>0.19660618270633501</v>
      </c>
      <c r="O77" s="97">
        <v>3.6416564417177901</v>
      </c>
      <c r="P77" s="98">
        <v>2.6513513513513498</v>
      </c>
      <c r="Q77" s="99">
        <v>2.0130368098159501E-2</v>
      </c>
      <c r="R77" s="100">
        <v>0.38957055214723901</v>
      </c>
    </row>
    <row r="78" spans="2:18" ht="15.75" customHeight="1" x14ac:dyDescent="0.3">
      <c r="B78" s="101" t="s">
        <v>223</v>
      </c>
      <c r="C78" s="102">
        <v>24300.58</v>
      </c>
      <c r="D78" s="102">
        <v>23470.58</v>
      </c>
      <c r="E78" s="103">
        <v>-378</v>
      </c>
      <c r="F78" s="103">
        <v>-452</v>
      </c>
      <c r="G78" s="104">
        <v>6574</v>
      </c>
      <c r="H78" s="102">
        <v>8550</v>
      </c>
      <c r="I78" s="102">
        <v>23720</v>
      </c>
      <c r="J78" s="103">
        <v>8553.3837646471602</v>
      </c>
      <c r="K78" s="104">
        <v>111</v>
      </c>
      <c r="L78" s="103">
        <v>943.5</v>
      </c>
      <c r="M78" s="105">
        <v>5423.6962353528397</v>
      </c>
      <c r="N78" s="106">
        <v>0.223192048722822</v>
      </c>
      <c r="O78" s="107">
        <v>3.6964679038637098</v>
      </c>
      <c r="P78" s="108">
        <v>2.77426900584795</v>
      </c>
      <c r="Q78" s="109">
        <v>1.50593246121083E-2</v>
      </c>
      <c r="R78" s="106">
        <v>0.39139032552479502</v>
      </c>
    </row>
    <row r="79" spans="2:18" ht="15.75" customHeight="1" x14ac:dyDescent="0.3">
      <c r="B79" s="90" t="s">
        <v>224</v>
      </c>
      <c r="C79" s="91">
        <v>30476.44</v>
      </c>
      <c r="D79" s="91">
        <v>23760.41</v>
      </c>
      <c r="E79" s="93">
        <v>-6378.28</v>
      </c>
      <c r="F79" s="93">
        <v>-337.75</v>
      </c>
      <c r="G79" s="94">
        <v>6430</v>
      </c>
      <c r="H79" s="91">
        <v>9060</v>
      </c>
      <c r="I79" s="91">
        <v>25080</v>
      </c>
      <c r="J79" s="93">
        <v>10727.1796434589</v>
      </c>
      <c r="K79" s="94">
        <v>139</v>
      </c>
      <c r="L79" s="93">
        <v>1181.5</v>
      </c>
      <c r="M79" s="113">
        <v>2791.7303565411498</v>
      </c>
      <c r="N79" s="100">
        <v>9.1602902325243707E-2</v>
      </c>
      <c r="O79" s="97">
        <v>4.7397262830482099</v>
      </c>
      <c r="P79" s="98">
        <v>2.7682119205297999</v>
      </c>
      <c r="Q79" s="99">
        <v>1.7573872472783799E-2</v>
      </c>
      <c r="R79" s="100">
        <v>0.35349922239502302</v>
      </c>
    </row>
    <row r="80" spans="2:18" ht="15.75" customHeight="1" x14ac:dyDescent="0.3">
      <c r="B80" s="101" t="s">
        <v>225</v>
      </c>
      <c r="C80" s="102">
        <v>54130.38</v>
      </c>
      <c r="D80" s="102">
        <v>49329.05</v>
      </c>
      <c r="E80" s="103">
        <v>-4412.7299999999996</v>
      </c>
      <c r="F80" s="103">
        <v>-388.6</v>
      </c>
      <c r="G80" s="104">
        <v>6285</v>
      </c>
      <c r="H80" s="110">
        <v>10300</v>
      </c>
      <c r="I80" s="102">
        <v>29790</v>
      </c>
      <c r="J80" s="103">
        <v>19052.9573148534</v>
      </c>
      <c r="K80" s="104">
        <v>247</v>
      </c>
      <c r="L80" s="103">
        <v>2099.5</v>
      </c>
      <c r="M80" s="95">
        <v>17876.592685146599</v>
      </c>
      <c r="N80" s="96">
        <v>0.33025064086279399</v>
      </c>
      <c r="O80" s="107">
        <v>8.6126300715990407</v>
      </c>
      <c r="P80" s="108">
        <v>2.8922330097087401</v>
      </c>
      <c r="Q80" s="109">
        <v>2.5298329355608499E-2</v>
      </c>
      <c r="R80" s="106">
        <v>0.38440731901352398</v>
      </c>
    </row>
    <row r="81" spans="2:18" ht="15.75" customHeight="1" x14ac:dyDescent="0.3">
      <c r="B81" s="90" t="s">
        <v>226</v>
      </c>
      <c r="C81" s="91">
        <v>33737.24</v>
      </c>
      <c r="D81" s="91">
        <v>28346.05</v>
      </c>
      <c r="E81" s="93">
        <v>-5180.6899999999996</v>
      </c>
      <c r="F81" s="93">
        <v>-210.5</v>
      </c>
      <c r="G81" s="94">
        <v>6147</v>
      </c>
      <c r="H81" s="91">
        <v>7820</v>
      </c>
      <c r="I81" s="91">
        <v>21070</v>
      </c>
      <c r="J81" s="93">
        <v>11874.924832246999</v>
      </c>
      <c r="K81" s="94">
        <v>154</v>
      </c>
      <c r="L81" s="93">
        <v>1309</v>
      </c>
      <c r="M81" s="113">
        <v>7342.1251677529999</v>
      </c>
      <c r="N81" s="100">
        <v>0.217626728438752</v>
      </c>
      <c r="O81" s="97">
        <v>5.4884073531804098</v>
      </c>
      <c r="P81" s="98">
        <v>2.6943734015345302</v>
      </c>
      <c r="Q81" s="99">
        <v>2.3751423458597602E-2</v>
      </c>
      <c r="R81" s="100">
        <v>0.408166585326175</v>
      </c>
    </row>
    <row r="82" spans="2:18" ht="15.75" customHeight="1" x14ac:dyDescent="0.3">
      <c r="B82" s="101" t="s">
        <v>227</v>
      </c>
      <c r="C82" s="102">
        <v>35541.269999999997</v>
      </c>
      <c r="D82" s="102">
        <v>30943.32</v>
      </c>
      <c r="E82" s="103">
        <v>-3326.12</v>
      </c>
      <c r="F82" s="103">
        <v>-1271.83</v>
      </c>
      <c r="G82" s="104">
        <v>6365</v>
      </c>
      <c r="H82" s="102">
        <v>8230</v>
      </c>
      <c r="I82" s="102">
        <v>22100</v>
      </c>
      <c r="J82" s="103">
        <v>12509.9121828755</v>
      </c>
      <c r="K82" s="104">
        <v>162</v>
      </c>
      <c r="L82" s="103">
        <v>1377</v>
      </c>
      <c r="M82" s="105">
        <v>8826.4078171244801</v>
      </c>
      <c r="N82" s="106">
        <v>0.24834249921638901</v>
      </c>
      <c r="O82" s="107">
        <v>5.5838601728201098</v>
      </c>
      <c r="P82" s="108">
        <v>2.6852976913730302</v>
      </c>
      <c r="Q82" s="109">
        <v>1.9795758051846E-2</v>
      </c>
      <c r="R82" s="106">
        <v>0.41476826394344102</v>
      </c>
    </row>
    <row r="83" spans="2:18" ht="15.75" customHeight="1" x14ac:dyDescent="0.3">
      <c r="B83" s="90" t="s">
        <v>228</v>
      </c>
      <c r="C83" s="91">
        <v>29608.35</v>
      </c>
      <c r="D83" s="91">
        <v>26623.040000000001</v>
      </c>
      <c r="E83" s="93">
        <v>-2171.6</v>
      </c>
      <c r="F83" s="93">
        <v>-813.71</v>
      </c>
      <c r="G83" s="94">
        <v>6212</v>
      </c>
      <c r="H83" s="91">
        <v>7510</v>
      </c>
      <c r="I83" s="91">
        <v>19720</v>
      </c>
      <c r="J83" s="93">
        <v>10421.626981248601</v>
      </c>
      <c r="K83" s="94">
        <v>135</v>
      </c>
      <c r="L83" s="93">
        <v>1147.5</v>
      </c>
      <c r="M83" s="95">
        <v>7543.9130187513802</v>
      </c>
      <c r="N83" s="96">
        <v>0.254790051412908</v>
      </c>
      <c r="O83" s="97">
        <v>4.7663151963940802</v>
      </c>
      <c r="P83" s="98">
        <v>2.62583222370173</v>
      </c>
      <c r="Q83" s="99">
        <v>2.02833226014166E-2</v>
      </c>
      <c r="R83" s="100">
        <v>0.44317450096587302</v>
      </c>
    </row>
    <row r="84" spans="2:18" ht="15.75" customHeight="1" x14ac:dyDescent="0.3">
      <c r="B84" s="101" t="s">
        <v>229</v>
      </c>
      <c r="C84" s="102">
        <v>17440.57</v>
      </c>
      <c r="D84" s="102">
        <v>16618.7</v>
      </c>
      <c r="E84" s="103">
        <v>-604.5</v>
      </c>
      <c r="F84" s="103">
        <v>-217.37</v>
      </c>
      <c r="G84" s="104">
        <v>5553</v>
      </c>
      <c r="H84" s="102">
        <v>5950</v>
      </c>
      <c r="I84" s="102">
        <v>15240</v>
      </c>
      <c r="J84" s="103">
        <v>6138.7789214986797</v>
      </c>
      <c r="K84" s="104">
        <v>80</v>
      </c>
      <c r="L84" s="103">
        <v>680</v>
      </c>
      <c r="M84" s="105">
        <v>3849.9210785013202</v>
      </c>
      <c r="N84" s="106">
        <v>0.22074514069788601</v>
      </c>
      <c r="O84" s="107">
        <v>3.1407473437781399</v>
      </c>
      <c r="P84" s="108">
        <v>2.5613445378151298</v>
      </c>
      <c r="Q84" s="109">
        <v>1.47667927246533E-2</v>
      </c>
      <c r="R84" s="106">
        <v>0.44084278768233398</v>
      </c>
    </row>
    <row r="85" spans="2:18" ht="15.75" customHeight="1" x14ac:dyDescent="0.3">
      <c r="B85" s="90" t="s">
        <v>230</v>
      </c>
      <c r="C85" s="91">
        <v>34115.01</v>
      </c>
      <c r="D85" s="91">
        <v>28489.599999999999</v>
      </c>
      <c r="E85" s="93">
        <v>-4634.01</v>
      </c>
      <c r="F85" s="93">
        <v>-991.4</v>
      </c>
      <c r="G85" s="94">
        <v>6943</v>
      </c>
      <c r="H85" s="91">
        <v>7400</v>
      </c>
      <c r="I85" s="91">
        <v>19440</v>
      </c>
      <c r="J85" s="93">
        <v>12007.8933368988</v>
      </c>
      <c r="K85" s="94">
        <v>156</v>
      </c>
      <c r="L85" s="93">
        <v>1326</v>
      </c>
      <c r="M85" s="113">
        <v>7755.7066631012303</v>
      </c>
      <c r="N85" s="100">
        <v>0.227340008491899</v>
      </c>
      <c r="O85" s="97">
        <v>4.9135834653607997</v>
      </c>
      <c r="P85" s="98">
        <v>2.6270270270270299</v>
      </c>
      <c r="Q85" s="99">
        <v>2.1172403860002801E-2</v>
      </c>
      <c r="R85" s="100">
        <v>0.394498055595564</v>
      </c>
    </row>
    <row r="86" spans="2:18" ht="15.75" customHeight="1" x14ac:dyDescent="0.3">
      <c r="B86" s="101" t="s">
        <v>231</v>
      </c>
      <c r="C86" s="102">
        <v>26292.68</v>
      </c>
      <c r="D86" s="102">
        <v>19112.77</v>
      </c>
      <c r="E86" s="103">
        <v>-6501.04</v>
      </c>
      <c r="F86" s="103">
        <v>-678.87</v>
      </c>
      <c r="G86" s="104">
        <v>6216</v>
      </c>
      <c r="H86" s="102">
        <v>6360</v>
      </c>
      <c r="I86" s="102">
        <v>16360</v>
      </c>
      <c r="J86" s="103">
        <v>9254.5685017009091</v>
      </c>
      <c r="K86" s="104">
        <v>120</v>
      </c>
      <c r="L86" s="103">
        <v>1020</v>
      </c>
      <c r="M86" s="105">
        <v>2478.20149829909</v>
      </c>
      <c r="N86" s="106">
        <v>9.4254427403334104E-2</v>
      </c>
      <c r="O86" s="107">
        <v>4.2298391248391303</v>
      </c>
      <c r="P86" s="108">
        <v>2.57232704402516</v>
      </c>
      <c r="Q86" s="109">
        <v>1.6409266409266401E-2</v>
      </c>
      <c r="R86" s="106">
        <v>0.40878378378378399</v>
      </c>
    </row>
    <row r="87" spans="2:18" ht="15.75" customHeight="1" x14ac:dyDescent="0.3">
      <c r="B87" s="90" t="s">
        <v>232</v>
      </c>
      <c r="C87" s="91">
        <v>42243.31</v>
      </c>
      <c r="D87" s="91">
        <v>34914.22</v>
      </c>
      <c r="E87" s="93">
        <v>-6283.28</v>
      </c>
      <c r="F87" s="93">
        <v>-1045.81</v>
      </c>
      <c r="G87" s="94">
        <v>6741</v>
      </c>
      <c r="H87" s="91">
        <v>7920</v>
      </c>
      <c r="I87" s="91">
        <v>20730</v>
      </c>
      <c r="J87" s="93">
        <v>14868.9143188746</v>
      </c>
      <c r="K87" s="94">
        <v>193</v>
      </c>
      <c r="L87" s="93">
        <v>1640.5</v>
      </c>
      <c r="M87" s="113">
        <v>10484.805681125399</v>
      </c>
      <c r="N87" s="100">
        <v>0.24820038205163</v>
      </c>
      <c r="O87" s="97">
        <v>6.2666236463432696</v>
      </c>
      <c r="P87" s="98">
        <v>2.61742424242424</v>
      </c>
      <c r="Q87" s="99">
        <v>2.3735350838154499E-2</v>
      </c>
      <c r="R87" s="100">
        <v>0.42634623943035199</v>
      </c>
    </row>
    <row r="88" spans="2:18" ht="15.75" customHeight="1" x14ac:dyDescent="0.3">
      <c r="B88" s="101" t="s">
        <v>233</v>
      </c>
      <c r="C88" s="102">
        <v>23013.439999999999</v>
      </c>
      <c r="D88" s="102">
        <v>17824.77</v>
      </c>
      <c r="E88" s="103">
        <v>-4590.67</v>
      </c>
      <c r="F88" s="103">
        <v>-598</v>
      </c>
      <c r="G88" s="104">
        <v>6147</v>
      </c>
      <c r="H88" s="102">
        <v>6050</v>
      </c>
      <c r="I88" s="102">
        <v>15650</v>
      </c>
      <c r="J88" s="103">
        <v>8100.3327519212098</v>
      </c>
      <c r="K88" s="104">
        <v>105</v>
      </c>
      <c r="L88" s="103">
        <v>892.5</v>
      </c>
      <c r="M88" s="105">
        <v>2781.9372480787902</v>
      </c>
      <c r="N88" s="106">
        <v>0.120883155585553</v>
      </c>
      <c r="O88" s="107">
        <v>3.7438490320481499</v>
      </c>
      <c r="P88" s="108">
        <v>2.5867768595041301</v>
      </c>
      <c r="Q88" s="109">
        <v>1.3339840572637001E-2</v>
      </c>
      <c r="R88" s="106">
        <v>0.43761184317553298</v>
      </c>
    </row>
    <row r="89" spans="2:18" ht="15.75" customHeight="1" x14ac:dyDescent="0.3">
      <c r="B89" s="90" t="s">
        <v>234</v>
      </c>
      <c r="C89" s="91">
        <v>27608.37</v>
      </c>
      <c r="D89" s="91">
        <v>22382.44</v>
      </c>
      <c r="E89" s="93">
        <v>-4856.6400000000003</v>
      </c>
      <c r="F89" s="93">
        <v>-369.29</v>
      </c>
      <c r="G89" s="94">
        <v>5736</v>
      </c>
      <c r="H89" s="91">
        <v>6770</v>
      </c>
      <c r="I89" s="91">
        <v>17760</v>
      </c>
      <c r="J89" s="93">
        <v>9717.6686205173592</v>
      </c>
      <c r="K89" s="94">
        <v>126</v>
      </c>
      <c r="L89" s="93">
        <v>1071</v>
      </c>
      <c r="M89" s="113">
        <v>4823.7713794826404</v>
      </c>
      <c r="N89" s="100">
        <v>0.174721339198317</v>
      </c>
      <c r="O89" s="97">
        <v>4.81317468619247</v>
      </c>
      <c r="P89" s="98">
        <v>2.62333825701625</v>
      </c>
      <c r="Q89" s="99">
        <v>1.42956764295676E-2</v>
      </c>
      <c r="R89" s="100">
        <v>0.408995815899582</v>
      </c>
    </row>
    <row r="90" spans="2:18" ht="15.75" customHeight="1" x14ac:dyDescent="0.3">
      <c r="B90" s="101" t="s">
        <v>235</v>
      </c>
      <c r="C90" s="102">
        <v>22986.639999999999</v>
      </c>
      <c r="D90" s="102">
        <v>22028.25</v>
      </c>
      <c r="E90" s="103">
        <v>-720.9</v>
      </c>
      <c r="F90" s="103">
        <v>-237.49</v>
      </c>
      <c r="G90" s="104">
        <v>5156</v>
      </c>
      <c r="H90" s="102">
        <v>6360</v>
      </c>
      <c r="I90" s="102">
        <v>16760</v>
      </c>
      <c r="J90" s="103">
        <v>8090.8996155560499</v>
      </c>
      <c r="K90" s="104">
        <v>105</v>
      </c>
      <c r="L90" s="103">
        <v>892.5</v>
      </c>
      <c r="M90" s="95">
        <v>6684.8503844439601</v>
      </c>
      <c r="N90" s="96">
        <v>0.29081459423577999</v>
      </c>
      <c r="O90" s="107">
        <v>4.45823118696664</v>
      </c>
      <c r="P90" s="108">
        <v>2.6352201257861601</v>
      </c>
      <c r="Q90" s="109">
        <v>1.86190845616757E-2</v>
      </c>
      <c r="R90" s="106">
        <v>0.40554693560899902</v>
      </c>
    </row>
    <row r="91" spans="2:18" ht="15.75" customHeight="1" x14ac:dyDescent="0.3">
      <c r="B91" s="90" t="s">
        <v>236</v>
      </c>
      <c r="C91" s="91">
        <v>23067.69</v>
      </c>
      <c r="D91" s="91">
        <v>21722.79</v>
      </c>
      <c r="E91" s="93">
        <v>-1035</v>
      </c>
      <c r="F91" s="93">
        <v>-309.89999999999998</v>
      </c>
      <c r="G91" s="94">
        <v>5202</v>
      </c>
      <c r="H91" s="91">
        <v>6565</v>
      </c>
      <c r="I91" s="91">
        <v>17260</v>
      </c>
      <c r="J91" s="93">
        <v>8119.4278134066599</v>
      </c>
      <c r="K91" s="94">
        <v>105</v>
      </c>
      <c r="L91" s="93">
        <v>892.5</v>
      </c>
      <c r="M91" s="95">
        <v>6145.8621865933401</v>
      </c>
      <c r="N91" s="96">
        <v>0.26642729231203199</v>
      </c>
      <c r="O91" s="97">
        <v>4.4343886966551302</v>
      </c>
      <c r="P91" s="98">
        <v>2.6290936785986299</v>
      </c>
      <c r="Q91" s="99">
        <v>1.42252979623221E-2</v>
      </c>
      <c r="R91" s="100">
        <v>0.42233756247597098</v>
      </c>
    </row>
    <row r="92" spans="2:18" ht="15.75" customHeight="1" x14ac:dyDescent="0.3">
      <c r="B92" s="101" t="s">
        <v>237</v>
      </c>
      <c r="C92" s="102">
        <v>22199.56</v>
      </c>
      <c r="D92" s="102">
        <v>17948.37</v>
      </c>
      <c r="E92" s="103">
        <v>-3711.86</v>
      </c>
      <c r="F92" s="103">
        <v>-539.33000000000004</v>
      </c>
      <c r="G92" s="104">
        <v>5330</v>
      </c>
      <c r="H92" s="102">
        <v>6360</v>
      </c>
      <c r="I92" s="102">
        <v>16760</v>
      </c>
      <c r="J92" s="103">
        <v>7813.8610718884302</v>
      </c>
      <c r="K92" s="104">
        <v>101</v>
      </c>
      <c r="L92" s="103">
        <v>858.5</v>
      </c>
      <c r="M92" s="105">
        <v>2916.0089281115702</v>
      </c>
      <c r="N92" s="106">
        <v>0.131354356938226</v>
      </c>
      <c r="O92" s="107">
        <v>4.1650206378986896</v>
      </c>
      <c r="P92" s="108">
        <v>2.6352201257861601</v>
      </c>
      <c r="Q92" s="109">
        <v>1.5947467166979298E-2</v>
      </c>
      <c r="R92" s="106">
        <v>0.417636022514071</v>
      </c>
    </row>
    <row r="93" spans="2:18" ht="15.75" customHeight="1" x14ac:dyDescent="0.3">
      <c r="B93" s="90" t="s">
        <v>238</v>
      </c>
      <c r="C93" s="91">
        <v>22413.279999999999</v>
      </c>
      <c r="D93" s="91">
        <v>19497.78</v>
      </c>
      <c r="E93" s="93">
        <v>-2711.49</v>
      </c>
      <c r="F93" s="93">
        <v>-204.01</v>
      </c>
      <c r="G93" s="94">
        <v>5648</v>
      </c>
      <c r="H93" s="91">
        <v>6565</v>
      </c>
      <c r="I93" s="91">
        <v>17260</v>
      </c>
      <c r="J93" s="93">
        <v>7889.0868145736003</v>
      </c>
      <c r="K93" s="94">
        <v>102</v>
      </c>
      <c r="L93" s="93">
        <v>867</v>
      </c>
      <c r="M93" s="113">
        <v>4176.6931854264003</v>
      </c>
      <c r="N93" s="100">
        <v>0.18634903884779</v>
      </c>
      <c r="O93" s="97">
        <v>3.9683569405099202</v>
      </c>
      <c r="P93" s="98">
        <v>2.6290936785986299</v>
      </c>
      <c r="Q93" s="99">
        <v>1.57577903682719E-2</v>
      </c>
      <c r="R93" s="100">
        <v>0.43873937677053798</v>
      </c>
    </row>
    <row r="94" spans="2:18" ht="21.75" customHeight="1" x14ac:dyDescent="0.3">
      <c r="B94" s="18" t="s">
        <v>239</v>
      </c>
      <c r="C94" s="114">
        <f>SUM(C3:C93)</f>
        <v>3310450.5100000007</v>
      </c>
      <c r="D94" s="114">
        <f>SUM(D3:D93)</f>
        <v>2705295.5999999996</v>
      </c>
      <c r="E94" s="115">
        <f>SUM(E3:E93)</f>
        <v>-552351.65</v>
      </c>
      <c r="F94" s="115">
        <f>SUM(F3:F93)</f>
        <v>-52803.260000000009</v>
      </c>
      <c r="G94" s="86"/>
      <c r="H94" s="114">
        <f>SUM(H3:H93)</f>
        <v>627400</v>
      </c>
      <c r="I94" s="114">
        <f>SUM(I3:I93)</f>
        <v>1706340</v>
      </c>
      <c r="J94" s="115">
        <f>SUM(J3:J93)</f>
        <v>1165221.3093638879</v>
      </c>
      <c r="K94" s="86"/>
      <c r="L94" s="115">
        <f>SUM(L3:L93)</f>
        <v>128316</v>
      </c>
      <c r="M94" s="115">
        <f>SUM(M3:M93)</f>
        <v>784358.29063611233</v>
      </c>
      <c r="N94" s="88">
        <f>M94/C94</f>
        <v>0.23693400286963123</v>
      </c>
      <c r="O94" s="86"/>
      <c r="P94" s="86"/>
      <c r="Q94" s="86"/>
      <c r="R94" s="86"/>
    </row>
  </sheetData>
  <mergeCells count="1">
    <mergeCell ref="B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A580C"/>
  </sheetPr>
  <dimension ref="A1:J30"/>
  <sheetViews>
    <sheetView showGridLines="0" topLeftCell="A18" zoomScaleNormal="100" workbookViewId="0"/>
  </sheetViews>
  <sheetFormatPr defaultColWidth="8.6640625" defaultRowHeight="14.4" x14ac:dyDescent="0.3"/>
  <cols>
    <col min="1" max="1" width="3" style="15" customWidth="1"/>
    <col min="2" max="2" width="38" style="15" customWidth="1"/>
    <col min="3" max="5" width="18" style="15" customWidth="1"/>
    <col min="6" max="6" width="38" style="15" customWidth="1"/>
    <col min="7" max="8" width="16" style="15" customWidth="1"/>
  </cols>
  <sheetData>
    <row r="1" spans="2:10" ht="30" customHeight="1" x14ac:dyDescent="0.3">
      <c r="B1" s="174" t="s">
        <v>240</v>
      </c>
      <c r="C1" s="174"/>
      <c r="D1" s="174"/>
      <c r="E1" s="174"/>
      <c r="F1" s="174"/>
      <c r="G1" s="174"/>
      <c r="H1" s="174"/>
      <c r="I1" s="174"/>
      <c r="J1" s="174"/>
    </row>
    <row r="3" spans="2:10" ht="18" customHeight="1" x14ac:dyDescent="0.3">
      <c r="B3" s="37" t="s">
        <v>241</v>
      </c>
      <c r="C3" s="37" t="s">
        <v>242</v>
      </c>
      <c r="D3" s="37" t="s">
        <v>243</v>
      </c>
      <c r="E3" s="37" t="s">
        <v>244</v>
      </c>
      <c r="F3" s="37" t="s">
        <v>245</v>
      </c>
    </row>
    <row r="4" spans="2:10" ht="21.75" customHeight="1" x14ac:dyDescent="0.3">
      <c r="B4" s="175" t="s">
        <v>246</v>
      </c>
      <c r="C4" s="175"/>
      <c r="D4" s="175"/>
      <c r="E4" s="175"/>
      <c r="F4" s="175"/>
      <c r="G4" s="175"/>
      <c r="H4" s="175"/>
    </row>
    <row r="5" spans="2:10" ht="19.5" customHeight="1" x14ac:dyDescent="0.3">
      <c r="B5" s="40" t="s">
        <v>247</v>
      </c>
      <c r="C5" s="116">
        <v>42000</v>
      </c>
      <c r="D5" s="116">
        <v>45000</v>
      </c>
      <c r="E5" s="116">
        <v>50000</v>
      </c>
      <c r="F5" s="7" t="s">
        <v>248</v>
      </c>
      <c r="G5" s="7"/>
      <c r="H5" s="7"/>
    </row>
    <row r="6" spans="2:10" ht="19.5" customHeight="1" x14ac:dyDescent="0.3">
      <c r="B6" s="38" t="s">
        <v>249</v>
      </c>
      <c r="C6" s="117">
        <v>0.6</v>
      </c>
      <c r="D6" s="117">
        <v>0.57999999999999996</v>
      </c>
      <c r="E6" s="117">
        <v>0.55000000000000004</v>
      </c>
      <c r="F6" s="7" t="s">
        <v>250</v>
      </c>
      <c r="G6" s="7"/>
      <c r="H6" s="7"/>
    </row>
    <row r="7" spans="2:10" ht="19.5" customHeight="1" x14ac:dyDescent="0.3">
      <c r="B7" s="40" t="s">
        <v>251</v>
      </c>
      <c r="C7" s="117">
        <v>0.4</v>
      </c>
      <c r="D7" s="117">
        <v>0.42</v>
      </c>
      <c r="E7" s="117">
        <v>0.45</v>
      </c>
      <c r="F7" s="7" t="s">
        <v>252</v>
      </c>
      <c r="G7" s="7"/>
      <c r="H7" s="7"/>
    </row>
    <row r="9" spans="2:10" ht="21.75" customHeight="1" x14ac:dyDescent="0.3">
      <c r="B9" s="175" t="s">
        <v>253</v>
      </c>
      <c r="C9" s="175"/>
      <c r="D9" s="175"/>
      <c r="E9" s="175"/>
      <c r="F9" s="175"/>
      <c r="G9" s="175"/>
      <c r="H9" s="175"/>
    </row>
    <row r="10" spans="2:10" ht="19.5" customHeight="1" x14ac:dyDescent="0.3">
      <c r="B10" s="38" t="s">
        <v>254</v>
      </c>
      <c r="C10" s="118">
        <v>0.02</v>
      </c>
      <c r="D10" s="118">
        <v>2.1999999999999999E-2</v>
      </c>
      <c r="E10" s="118">
        <v>2.5000000000000001E-2</v>
      </c>
      <c r="F10" s="7" t="s">
        <v>255</v>
      </c>
      <c r="G10" s="7"/>
      <c r="H10" s="7"/>
    </row>
    <row r="11" spans="2:10" ht="19.5" customHeight="1" x14ac:dyDescent="0.3">
      <c r="B11" s="40" t="s">
        <v>256</v>
      </c>
      <c r="C11" s="119">
        <v>225</v>
      </c>
      <c r="D11" s="119">
        <v>230</v>
      </c>
      <c r="E11" s="119">
        <v>235</v>
      </c>
      <c r="F11" s="7" t="s">
        <v>257</v>
      </c>
      <c r="G11" s="7"/>
      <c r="H11" s="7"/>
    </row>
    <row r="12" spans="2:10" ht="19.5" customHeight="1" x14ac:dyDescent="0.3">
      <c r="B12" s="38" t="s">
        <v>258</v>
      </c>
      <c r="C12" s="117">
        <v>0.13500000000000001</v>
      </c>
      <c r="D12" s="117">
        <v>0.12</v>
      </c>
      <c r="E12" s="117">
        <v>0.1</v>
      </c>
      <c r="F12" s="7" t="s">
        <v>259</v>
      </c>
      <c r="G12" s="7"/>
      <c r="H12" s="7"/>
    </row>
    <row r="13" spans="2:10" ht="19.5" customHeight="1" x14ac:dyDescent="0.3">
      <c r="B13" s="40" t="s">
        <v>260</v>
      </c>
      <c r="C13" s="117">
        <v>1.6E-2</v>
      </c>
      <c r="D13" s="117">
        <v>1.4E-2</v>
      </c>
      <c r="E13" s="117">
        <v>1.2E-2</v>
      </c>
      <c r="F13" s="7" t="s">
        <v>261</v>
      </c>
      <c r="G13" s="7"/>
      <c r="H13" s="7"/>
    </row>
    <row r="15" spans="2:10" ht="21.75" customHeight="1" x14ac:dyDescent="0.3">
      <c r="B15" s="175" t="s">
        <v>262</v>
      </c>
      <c r="C15" s="175"/>
      <c r="D15" s="175"/>
      <c r="E15" s="175"/>
      <c r="F15" s="175"/>
      <c r="G15" s="175"/>
      <c r="H15" s="175"/>
    </row>
    <row r="16" spans="2:10" ht="19.5" customHeight="1" x14ac:dyDescent="0.3">
      <c r="B16" s="38" t="s">
        <v>263</v>
      </c>
      <c r="C16" s="118">
        <v>0.35199999999999998</v>
      </c>
      <c r="D16" s="118">
        <v>0.35199999999999998</v>
      </c>
      <c r="E16" s="118">
        <v>0.35199999999999998</v>
      </c>
      <c r="F16" s="7" t="s">
        <v>264</v>
      </c>
      <c r="G16" s="7"/>
      <c r="H16" s="7"/>
    </row>
    <row r="17" spans="2:8" ht="19.5" customHeight="1" x14ac:dyDescent="0.3">
      <c r="B17" s="40" t="s">
        <v>265</v>
      </c>
      <c r="C17" s="119">
        <v>8.5</v>
      </c>
      <c r="D17" s="119">
        <v>8.5</v>
      </c>
      <c r="E17" s="119">
        <v>8.5</v>
      </c>
      <c r="F17" s="7" t="s">
        <v>266</v>
      </c>
      <c r="G17" s="7"/>
      <c r="H17" s="7"/>
    </row>
    <row r="18" spans="2:8" ht="19.5" customHeight="1" x14ac:dyDescent="0.3">
      <c r="B18" s="38" t="s">
        <v>267</v>
      </c>
      <c r="C18" s="118">
        <v>2.5000000000000001E-2</v>
      </c>
      <c r="D18" s="118">
        <v>2.5000000000000001E-2</v>
      </c>
      <c r="E18" s="118">
        <v>2.5000000000000001E-2</v>
      </c>
      <c r="F18" s="7" t="s">
        <v>268</v>
      </c>
      <c r="G18" s="7"/>
      <c r="H18" s="7"/>
    </row>
    <row r="20" spans="2:8" ht="21.75" customHeight="1" x14ac:dyDescent="0.3">
      <c r="B20" s="175" t="s">
        <v>269</v>
      </c>
      <c r="C20" s="175"/>
      <c r="D20" s="175"/>
      <c r="E20" s="175"/>
      <c r="F20" s="175"/>
      <c r="G20" s="175"/>
      <c r="H20" s="175"/>
    </row>
    <row r="21" spans="2:8" ht="19.5" customHeight="1" x14ac:dyDescent="0.3">
      <c r="B21" s="40" t="s">
        <v>270</v>
      </c>
      <c r="C21" s="120">
        <v>55000</v>
      </c>
      <c r="D21" s="120">
        <v>60000</v>
      </c>
      <c r="E21" s="120">
        <v>65000</v>
      </c>
      <c r="F21" s="7" t="s">
        <v>271</v>
      </c>
      <c r="G21" s="7"/>
      <c r="H21" s="7"/>
    </row>
    <row r="22" spans="2:8" ht="19.5" customHeight="1" x14ac:dyDescent="0.3">
      <c r="B22" s="38" t="s">
        <v>272</v>
      </c>
      <c r="C22" s="117">
        <v>0.5</v>
      </c>
      <c r="D22" s="117">
        <v>0.48</v>
      </c>
      <c r="E22" s="117">
        <v>0.46</v>
      </c>
      <c r="F22" s="7" t="s">
        <v>273</v>
      </c>
      <c r="G22" s="7"/>
      <c r="H22" s="7"/>
    </row>
    <row r="23" spans="2:8" ht="19.5" customHeight="1" x14ac:dyDescent="0.3">
      <c r="B23" s="40" t="s">
        <v>274</v>
      </c>
      <c r="C23" s="117">
        <v>0.3</v>
      </c>
      <c r="D23" s="117">
        <v>0.32</v>
      </c>
      <c r="E23" s="117">
        <v>0.34</v>
      </c>
      <c r="F23" s="7" t="s">
        <v>275</v>
      </c>
      <c r="G23" s="7"/>
      <c r="H23" s="7"/>
    </row>
    <row r="24" spans="2:8" ht="19.5" customHeight="1" x14ac:dyDescent="0.3">
      <c r="B24" s="38" t="s">
        <v>276</v>
      </c>
      <c r="C24" s="117">
        <v>0.12</v>
      </c>
      <c r="D24" s="117">
        <v>0.12</v>
      </c>
      <c r="E24" s="117">
        <v>0.12</v>
      </c>
      <c r="F24" s="7" t="s">
        <v>277</v>
      </c>
      <c r="G24" s="7"/>
      <c r="H24" s="7"/>
    </row>
    <row r="25" spans="2:8" ht="19.5" customHeight="1" x14ac:dyDescent="0.3">
      <c r="B25" s="40" t="s">
        <v>278</v>
      </c>
      <c r="C25" s="117">
        <v>0.08</v>
      </c>
      <c r="D25" s="117">
        <v>0.08</v>
      </c>
      <c r="E25" s="117">
        <v>0.08</v>
      </c>
      <c r="F25" s="7" t="s">
        <v>279</v>
      </c>
      <c r="G25" s="7"/>
      <c r="H25" s="7"/>
    </row>
    <row r="27" spans="2:8" ht="21.75" customHeight="1" x14ac:dyDescent="0.3">
      <c r="B27" s="175" t="s">
        <v>280</v>
      </c>
      <c r="C27" s="175"/>
      <c r="D27" s="175"/>
      <c r="E27" s="175"/>
      <c r="F27" s="175"/>
      <c r="G27" s="175"/>
      <c r="H27" s="175"/>
    </row>
    <row r="28" spans="2:8" ht="21.75" customHeight="1" x14ac:dyDescent="0.3">
      <c r="B28" s="176" t="s">
        <v>281</v>
      </c>
      <c r="C28" s="176"/>
      <c r="D28" s="176"/>
      <c r="E28" s="176"/>
      <c r="F28" s="176"/>
      <c r="G28" s="176"/>
      <c r="H28" s="176"/>
    </row>
    <row r="29" spans="2:8" ht="21.75" customHeight="1" x14ac:dyDescent="0.3">
      <c r="B29" s="176"/>
      <c r="C29" s="176"/>
      <c r="D29" s="176"/>
      <c r="E29" s="176"/>
      <c r="F29" s="176"/>
      <c r="G29" s="176"/>
      <c r="H29" s="176"/>
    </row>
    <row r="30" spans="2:8" ht="21.75" customHeight="1" x14ac:dyDescent="0.3">
      <c r="B30" s="176"/>
      <c r="C30" s="176"/>
      <c r="D30" s="176"/>
      <c r="E30" s="176"/>
      <c r="F30" s="176"/>
      <c r="G30" s="176"/>
      <c r="H30" s="176"/>
    </row>
  </sheetData>
  <mergeCells count="22">
    <mergeCell ref="B27:H27"/>
    <mergeCell ref="B28:H30"/>
    <mergeCell ref="F21:H21"/>
    <mergeCell ref="F22:H22"/>
    <mergeCell ref="F23:H23"/>
    <mergeCell ref="F24:H24"/>
    <mergeCell ref="F25:H25"/>
    <mergeCell ref="B15:H15"/>
    <mergeCell ref="F16:H16"/>
    <mergeCell ref="F17:H17"/>
    <mergeCell ref="F18:H18"/>
    <mergeCell ref="B20:H20"/>
    <mergeCell ref="B9:H9"/>
    <mergeCell ref="F10:H10"/>
    <mergeCell ref="F11:H11"/>
    <mergeCell ref="F12:H12"/>
    <mergeCell ref="F13:H13"/>
    <mergeCell ref="B1:J1"/>
    <mergeCell ref="B4:H4"/>
    <mergeCell ref="F5:H5"/>
    <mergeCell ref="F6:H6"/>
    <mergeCell ref="F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6A34A"/>
  </sheetPr>
  <dimension ref="A1:J77"/>
  <sheetViews>
    <sheetView showGridLines="0" tabSelected="1" zoomScaleNormal="100" workbookViewId="0">
      <selection activeCell="M13" sqref="M13"/>
    </sheetView>
  </sheetViews>
  <sheetFormatPr defaultColWidth="8.6640625" defaultRowHeight="14.4" x14ac:dyDescent="0.3"/>
  <cols>
    <col min="1" max="1" width="3" style="15" customWidth="1"/>
    <col min="2" max="2" width="40" style="15" customWidth="1"/>
    <col min="3" max="7" width="20" style="15" customWidth="1"/>
  </cols>
  <sheetData>
    <row r="1" spans="2:10" ht="30" customHeight="1" x14ac:dyDescent="0.3">
      <c r="B1" s="177" t="s">
        <v>282</v>
      </c>
      <c r="C1" s="177"/>
      <c r="D1" s="177"/>
      <c r="E1" s="177"/>
      <c r="F1" s="177"/>
      <c r="G1" s="177"/>
      <c r="H1" s="177"/>
      <c r="I1" s="177"/>
      <c r="J1" s="177"/>
    </row>
    <row r="2" spans="2:10" ht="7.5" customHeight="1" x14ac:dyDescent="0.3"/>
    <row r="3" spans="2:10" ht="24" customHeight="1" x14ac:dyDescent="0.3">
      <c r="B3" s="121" t="s">
        <v>283</v>
      </c>
      <c r="C3" s="121" t="s">
        <v>242</v>
      </c>
      <c r="D3" s="121" t="s">
        <v>243</v>
      </c>
      <c r="E3" s="121" t="s">
        <v>244</v>
      </c>
      <c r="F3" s="121" t="s">
        <v>284</v>
      </c>
      <c r="G3" s="121" t="s">
        <v>285</v>
      </c>
    </row>
    <row r="4" spans="2:10" ht="19.5" customHeight="1" x14ac:dyDescent="0.3">
      <c r="B4" s="122" t="s">
        <v>286</v>
      </c>
      <c r="C4" s="122" t="s">
        <v>287</v>
      </c>
      <c r="D4" s="122" t="s">
        <v>288</v>
      </c>
      <c r="E4" s="122" t="s">
        <v>289</v>
      </c>
      <c r="F4" s="122" t="s">
        <v>290</v>
      </c>
      <c r="G4" s="122" t="s">
        <v>291</v>
      </c>
    </row>
    <row r="5" spans="2:10" ht="24" customHeight="1" x14ac:dyDescent="0.3">
      <c r="B5" s="178" t="s">
        <v>292</v>
      </c>
      <c r="C5" s="178"/>
      <c r="D5" s="178"/>
      <c r="E5" s="178"/>
      <c r="F5" s="178"/>
      <c r="G5" s="178"/>
    </row>
    <row r="6" spans="2:10" ht="19.5" customHeight="1" x14ac:dyDescent="0.3">
      <c r="B6" s="40" t="s">
        <v>293</v>
      </c>
      <c r="C6" s="123">
        <f>'🧮 Assumptions'!C5</f>
        <v>42000</v>
      </c>
      <c r="D6" s="123">
        <f>'🧮 Assumptions'!D5</f>
        <v>45000</v>
      </c>
      <c r="E6" s="123">
        <f>'🧮 Assumptions'!E5</f>
        <v>50000</v>
      </c>
      <c r="F6" s="124">
        <f t="shared" ref="F6:F11" si="0">C6+D6+E6</f>
        <v>137000</v>
      </c>
      <c r="G6" s="125">
        <v>198666</v>
      </c>
    </row>
    <row r="7" spans="2:10" ht="19.5" customHeight="1" x14ac:dyDescent="0.3">
      <c r="B7" s="38" t="s">
        <v>294</v>
      </c>
      <c r="C7" s="64">
        <f>C6*'🧮 Assumptions'!C6</f>
        <v>25200</v>
      </c>
      <c r="D7" s="64">
        <f>D6*'🧮 Assumptions'!D6</f>
        <v>26100</v>
      </c>
      <c r="E7" s="64">
        <f>E6*'🧮 Assumptions'!E6</f>
        <v>27500.000000000004</v>
      </c>
      <c r="F7" s="64">
        <f t="shared" si="0"/>
        <v>78800</v>
      </c>
      <c r="G7" s="126"/>
    </row>
    <row r="8" spans="2:10" ht="19.5" customHeight="1" x14ac:dyDescent="0.3">
      <c r="B8" s="38" t="s">
        <v>295</v>
      </c>
      <c r="C8" s="64">
        <f>C6*'🧮 Assumptions'!C7</f>
        <v>16800</v>
      </c>
      <c r="D8" s="64">
        <f>D6*'🧮 Assumptions'!D7</f>
        <v>18900</v>
      </c>
      <c r="E8" s="64">
        <f>E6*'🧮 Assumptions'!E7</f>
        <v>22500</v>
      </c>
      <c r="F8" s="64">
        <f t="shared" si="0"/>
        <v>58200</v>
      </c>
      <c r="G8" s="126"/>
    </row>
    <row r="9" spans="2:10" ht="19.5" customHeight="1" x14ac:dyDescent="0.3">
      <c r="B9" s="40" t="s">
        <v>254</v>
      </c>
      <c r="C9" s="127">
        <f>'🧮 Assumptions'!C10</f>
        <v>0.02</v>
      </c>
      <c r="D9" s="127">
        <f>'🧮 Assumptions'!D10</f>
        <v>2.1999999999999999E-2</v>
      </c>
      <c r="E9" s="127">
        <f>'🧮 Assumptions'!E10</f>
        <v>2.5000000000000001E-2</v>
      </c>
      <c r="F9" s="128">
        <f t="shared" si="0"/>
        <v>6.7000000000000004E-2</v>
      </c>
      <c r="G9" s="129">
        <v>1.77E-2</v>
      </c>
    </row>
    <row r="10" spans="2:10" ht="19.5" customHeight="1" x14ac:dyDescent="0.3">
      <c r="B10" s="38" t="s">
        <v>296</v>
      </c>
      <c r="C10" s="64">
        <f>ROUND(C6*C9,0)</f>
        <v>840</v>
      </c>
      <c r="D10" s="64">
        <f>ROUND(D6*D9,0)</f>
        <v>990</v>
      </c>
      <c r="E10" s="64">
        <f>ROUND(E6*E9,0)</f>
        <v>1250</v>
      </c>
      <c r="F10" s="64">
        <f t="shared" si="0"/>
        <v>3080</v>
      </c>
      <c r="G10" s="125">
        <v>5031</v>
      </c>
    </row>
    <row r="11" spans="2:10" ht="19.5" customHeight="1" x14ac:dyDescent="0.3">
      <c r="B11" s="40" t="s">
        <v>256</v>
      </c>
      <c r="C11" s="130">
        <f>'🧮 Assumptions'!C11</f>
        <v>225</v>
      </c>
      <c r="D11" s="130">
        <f>'🧮 Assumptions'!D11</f>
        <v>230</v>
      </c>
      <c r="E11" s="130">
        <f>'🧮 Assumptions'!E11</f>
        <v>235</v>
      </c>
      <c r="F11" s="65">
        <f t="shared" si="0"/>
        <v>690</v>
      </c>
      <c r="G11" s="131">
        <v>219.35</v>
      </c>
    </row>
    <row r="13" spans="2:10" ht="24" customHeight="1" x14ac:dyDescent="0.3">
      <c r="B13" s="178" t="s">
        <v>297</v>
      </c>
      <c r="C13" s="178"/>
      <c r="D13" s="178"/>
      <c r="E13" s="178"/>
      <c r="F13" s="178"/>
      <c r="G13" s="178"/>
    </row>
    <row r="14" spans="2:10" ht="19.5" customHeight="1" x14ac:dyDescent="0.3">
      <c r="B14" s="132" t="s">
        <v>4</v>
      </c>
      <c r="C14" s="133">
        <f>C10*C11</f>
        <v>189000</v>
      </c>
      <c r="D14" s="133">
        <f>D10*D11</f>
        <v>227700</v>
      </c>
      <c r="E14" s="133">
        <f>E10*E11</f>
        <v>293750</v>
      </c>
      <c r="F14" s="134">
        <f>C14+D14+E14</f>
        <v>710450</v>
      </c>
      <c r="G14" s="135">
        <v>3310451</v>
      </c>
    </row>
    <row r="15" spans="2:10" ht="19.5" customHeight="1" x14ac:dyDescent="0.3">
      <c r="B15" s="38" t="s">
        <v>81</v>
      </c>
      <c r="C15" s="48">
        <f>-C14*'🧮 Assumptions'!C12</f>
        <v>-25515</v>
      </c>
      <c r="D15" s="48">
        <f>-D14*'🧮 Assumptions'!D12</f>
        <v>-27324</v>
      </c>
      <c r="E15" s="48">
        <f>-E14*'🧮 Assumptions'!E12</f>
        <v>-29375</v>
      </c>
      <c r="F15" s="48">
        <f>C15+D15+E15</f>
        <v>-82214</v>
      </c>
      <c r="G15" s="136">
        <v>-552352</v>
      </c>
    </row>
    <row r="16" spans="2:10" ht="19.5" customHeight="1" x14ac:dyDescent="0.3">
      <c r="B16" s="40" t="s">
        <v>83</v>
      </c>
      <c r="C16" s="50">
        <f>-C14*'🧮 Assumptions'!C13</f>
        <v>-3024</v>
      </c>
      <c r="D16" s="50">
        <f>-D14*'🧮 Assumptions'!D13</f>
        <v>-3187.8</v>
      </c>
      <c r="E16" s="50">
        <f>-E14*'🧮 Assumptions'!E13</f>
        <v>-3525</v>
      </c>
      <c r="F16" s="50">
        <f>C16+D16+E16</f>
        <v>-9736.7999999999993</v>
      </c>
      <c r="G16" s="136">
        <v>-52803</v>
      </c>
    </row>
    <row r="17" spans="2:7" ht="19.5" customHeight="1" x14ac:dyDescent="0.3">
      <c r="B17" s="132" t="s">
        <v>8</v>
      </c>
      <c r="C17" s="133">
        <f>C14+C15+C16</f>
        <v>160461</v>
      </c>
      <c r="D17" s="133">
        <f>D14+D15+D16</f>
        <v>197188.2</v>
      </c>
      <c r="E17" s="133">
        <f>E14+E15+E16</f>
        <v>260850</v>
      </c>
      <c r="F17" s="134">
        <f>C17+D17+E17</f>
        <v>618499.19999999995</v>
      </c>
      <c r="G17" s="135">
        <v>2705296</v>
      </c>
    </row>
    <row r="18" spans="2:7" ht="19.5" customHeight="1" x14ac:dyDescent="0.3">
      <c r="B18" s="137" t="s">
        <v>298</v>
      </c>
      <c r="C18" s="138">
        <f>'🧮 Assumptions'!C12</f>
        <v>0.13500000000000001</v>
      </c>
      <c r="D18" s="138">
        <f>'🧮 Assumptions'!D12</f>
        <v>0.12</v>
      </c>
      <c r="E18" s="138">
        <f>'🧮 Assumptions'!E12</f>
        <v>0.1</v>
      </c>
      <c r="F18" s="139">
        <f>C18+D18+E18</f>
        <v>0.35499999999999998</v>
      </c>
      <c r="G18" s="140">
        <v>0.16700000000000001</v>
      </c>
    </row>
    <row r="20" spans="2:7" ht="24" customHeight="1" x14ac:dyDescent="0.3">
      <c r="B20" s="178" t="s">
        <v>299</v>
      </c>
      <c r="C20" s="178"/>
      <c r="D20" s="178"/>
      <c r="E20" s="178"/>
      <c r="F20" s="178"/>
      <c r="G20" s="178"/>
    </row>
    <row r="21" spans="2:7" ht="19.5" customHeight="1" x14ac:dyDescent="0.3">
      <c r="B21" s="38" t="s">
        <v>300</v>
      </c>
      <c r="C21" s="48">
        <f>-C14*'🧮 Assumptions'!C16</f>
        <v>-66528</v>
      </c>
      <c r="D21" s="48">
        <f>-D14*'🧮 Assumptions'!D16</f>
        <v>-80150.399999999994</v>
      </c>
      <c r="E21" s="48">
        <f>-E14*'🧮 Assumptions'!E16</f>
        <v>-103400</v>
      </c>
      <c r="F21" s="48">
        <f>C21+D21+E21</f>
        <v>-250078.4</v>
      </c>
      <c r="G21" s="136">
        <v>-1165221</v>
      </c>
    </row>
    <row r="22" spans="2:7" ht="19.5" customHeight="1" x14ac:dyDescent="0.3">
      <c r="B22" s="40" t="s">
        <v>301</v>
      </c>
      <c r="C22" s="50">
        <f>-C10*'🧮 Assumptions'!C17</f>
        <v>-7140</v>
      </c>
      <c r="D22" s="50">
        <f>-D10*'🧮 Assumptions'!D17</f>
        <v>-8415</v>
      </c>
      <c r="E22" s="50">
        <f>-E10*'🧮 Assumptions'!E17</f>
        <v>-10625</v>
      </c>
      <c r="F22" s="50">
        <f>C22+D22+E22</f>
        <v>-26180</v>
      </c>
      <c r="G22" s="136">
        <v>-128291</v>
      </c>
    </row>
    <row r="23" spans="2:7" ht="19.5" customHeight="1" x14ac:dyDescent="0.3">
      <c r="B23" s="38" t="s">
        <v>302</v>
      </c>
      <c r="C23" s="48">
        <f>-C14*'🧮 Assumptions'!C18</f>
        <v>-4725</v>
      </c>
      <c r="D23" s="48">
        <f>-D14*'🧮 Assumptions'!D18</f>
        <v>-5692.5</v>
      </c>
      <c r="E23" s="48">
        <f>-E14*'🧮 Assumptions'!E18</f>
        <v>-7343.75</v>
      </c>
      <c r="F23" s="48">
        <f>C23+D23+E23</f>
        <v>-17761.25</v>
      </c>
      <c r="G23" s="136">
        <v>-82761</v>
      </c>
    </row>
    <row r="24" spans="2:7" ht="19.5" customHeight="1" x14ac:dyDescent="0.3">
      <c r="B24" s="132" t="s">
        <v>303</v>
      </c>
      <c r="C24" s="133">
        <f>C17+C21+C22+C23</f>
        <v>82068</v>
      </c>
      <c r="D24" s="133">
        <f>D17+D21+D22+D23</f>
        <v>102930.30000000002</v>
      </c>
      <c r="E24" s="133">
        <f>E17+E21+E22+E23</f>
        <v>139481.25</v>
      </c>
      <c r="F24" s="134">
        <f>C24+D24+E24</f>
        <v>324479.55000000005</v>
      </c>
      <c r="G24" s="135">
        <v>701623</v>
      </c>
    </row>
    <row r="26" spans="2:7" ht="24" customHeight="1" x14ac:dyDescent="0.3">
      <c r="B26" s="178" t="s">
        <v>304</v>
      </c>
      <c r="C26" s="178"/>
      <c r="D26" s="178"/>
      <c r="E26" s="178"/>
      <c r="F26" s="178"/>
      <c r="G26" s="178"/>
    </row>
    <row r="27" spans="2:7" ht="19.5" customHeight="1" x14ac:dyDescent="0.3">
      <c r="B27" s="40" t="s">
        <v>305</v>
      </c>
      <c r="C27" s="50">
        <f>-'🧮 Assumptions'!C21</f>
        <v>-55000</v>
      </c>
      <c r="D27" s="50">
        <f>-'🧮 Assumptions'!D21</f>
        <v>-60000</v>
      </c>
      <c r="E27" s="50">
        <f>-'🧮 Assumptions'!E21</f>
        <v>-65000</v>
      </c>
      <c r="F27" s="50">
        <f t="shared" ref="F27:F32" si="1">C27+D27+E27</f>
        <v>-180000</v>
      </c>
      <c r="G27" s="136">
        <v>-627400</v>
      </c>
    </row>
    <row r="28" spans="2:7" ht="19.5" customHeight="1" x14ac:dyDescent="0.3">
      <c r="B28" s="38" t="s">
        <v>306</v>
      </c>
      <c r="C28" s="60">
        <f>ABS(C27)*'🧮 Assumptions'!C22</f>
        <v>27500</v>
      </c>
      <c r="D28" s="60">
        <f>ABS(D27)*'🧮 Assumptions'!D22</f>
        <v>28800</v>
      </c>
      <c r="E28" s="60">
        <f>ABS(E27)*'🧮 Assumptions'!E22</f>
        <v>29900</v>
      </c>
      <c r="F28" s="60">
        <f t="shared" si="1"/>
        <v>86200</v>
      </c>
      <c r="G28" s="141">
        <v>390800</v>
      </c>
    </row>
    <row r="29" spans="2:7" ht="19.5" customHeight="1" x14ac:dyDescent="0.3">
      <c r="B29" s="40" t="s">
        <v>307</v>
      </c>
      <c r="C29" s="142">
        <f>ABS(C27)*'🧮 Assumptions'!C23</f>
        <v>16500</v>
      </c>
      <c r="D29" s="142">
        <f>ABS(D27)*'🧮 Assumptions'!D23</f>
        <v>19200</v>
      </c>
      <c r="E29" s="142">
        <f>ABS(E27)*'🧮 Assumptions'!E23</f>
        <v>22100</v>
      </c>
      <c r="F29" s="142">
        <f t="shared" si="1"/>
        <v>57800</v>
      </c>
      <c r="G29" s="141">
        <v>147200</v>
      </c>
    </row>
    <row r="30" spans="2:7" ht="19.5" customHeight="1" x14ac:dyDescent="0.3">
      <c r="B30" s="38" t="s">
        <v>308</v>
      </c>
      <c r="C30" s="60">
        <f>ABS(C27)*'🧮 Assumptions'!C24</f>
        <v>6600</v>
      </c>
      <c r="D30" s="60">
        <f>ABS(D27)*'🧮 Assumptions'!D24</f>
        <v>7200</v>
      </c>
      <c r="E30" s="60">
        <f>ABS(E27)*'🧮 Assumptions'!E24</f>
        <v>7800</v>
      </c>
      <c r="F30" s="60">
        <f t="shared" si="1"/>
        <v>21600</v>
      </c>
      <c r="G30" s="141">
        <v>73100</v>
      </c>
    </row>
    <row r="31" spans="2:7" ht="19.5" customHeight="1" x14ac:dyDescent="0.3">
      <c r="B31" s="40" t="s">
        <v>309</v>
      </c>
      <c r="C31" s="142">
        <f>ABS(C27)*'🧮 Assumptions'!C25</f>
        <v>4400</v>
      </c>
      <c r="D31" s="142">
        <f>ABS(D27)*'🧮 Assumptions'!D25</f>
        <v>4800</v>
      </c>
      <c r="E31" s="142">
        <f>ABS(E27)*'🧮 Assumptions'!E25</f>
        <v>5200</v>
      </c>
      <c r="F31" s="142">
        <f t="shared" si="1"/>
        <v>14400</v>
      </c>
      <c r="G31" s="141">
        <v>16300</v>
      </c>
    </row>
    <row r="32" spans="2:7" ht="19.5" customHeight="1" x14ac:dyDescent="0.3">
      <c r="B32" s="137" t="s">
        <v>310</v>
      </c>
      <c r="C32" s="143">
        <f>IF(ABS(C27)&gt;0,C14/ABS(C27),0)</f>
        <v>3.4363636363636365</v>
      </c>
      <c r="D32" s="143">
        <f>IF(ABS(D27)&gt;0,D14/ABS(D27),0)</f>
        <v>3.7949999999999999</v>
      </c>
      <c r="E32" s="143">
        <f>IF(ABS(E27)&gt;0,E14/ABS(E27),0)</f>
        <v>4.5192307692307692</v>
      </c>
      <c r="F32" s="144">
        <f t="shared" si="1"/>
        <v>11.750594405594406</v>
      </c>
      <c r="G32" s="145">
        <v>5.28</v>
      </c>
    </row>
    <row r="34" spans="2:7" ht="24" customHeight="1" x14ac:dyDescent="0.3">
      <c r="B34" s="178" t="s">
        <v>311</v>
      </c>
      <c r="C34" s="178"/>
      <c r="D34" s="178"/>
      <c r="E34" s="178"/>
      <c r="F34" s="178"/>
      <c r="G34" s="178"/>
    </row>
    <row r="35" spans="2:7" ht="19.5" customHeight="1" x14ac:dyDescent="0.3">
      <c r="B35" s="146" t="s">
        <v>312</v>
      </c>
      <c r="C35" s="147">
        <f>C17+C21+C22+C27</f>
        <v>31793</v>
      </c>
      <c r="D35" s="147">
        <f>D17+D21+D22+D27</f>
        <v>48622.800000000017</v>
      </c>
      <c r="E35" s="147">
        <f>E17+E21+E22+E27</f>
        <v>81825</v>
      </c>
      <c r="F35" s="148">
        <f>C35+D35+E35</f>
        <v>162240.80000000002</v>
      </c>
      <c r="G35" s="149">
        <v>784384</v>
      </c>
    </row>
    <row r="36" spans="2:7" ht="19.5" customHeight="1" x14ac:dyDescent="0.3">
      <c r="B36" s="146" t="s">
        <v>313</v>
      </c>
      <c r="C36" s="150">
        <f>IF(C14&lt;&gt;0,C35/C14,0)</f>
        <v>0.16821693121693121</v>
      </c>
      <c r="D36" s="150">
        <f>IF(D14&lt;&gt;0,D35/D14,0)</f>
        <v>0.21353886693017135</v>
      </c>
      <c r="E36" s="150">
        <f>IF(E14&lt;&gt;0,E35/E14,0)</f>
        <v>0.2785531914893617</v>
      </c>
      <c r="F36" s="151">
        <f>C36+D36+E36</f>
        <v>0.66030898963646423</v>
      </c>
      <c r="G36" s="152">
        <v>0.2369</v>
      </c>
    </row>
    <row r="37" spans="2:7" ht="19.5" customHeight="1" x14ac:dyDescent="0.3">
      <c r="B37" s="137" t="s">
        <v>314</v>
      </c>
      <c r="C37" s="153">
        <f>C24+C27</f>
        <v>27068</v>
      </c>
      <c r="D37" s="153">
        <f>D24+D27</f>
        <v>42930.300000000017</v>
      </c>
      <c r="E37" s="153">
        <f>E24+E27</f>
        <v>74481.25</v>
      </c>
      <c r="F37" s="154">
        <f>C37+D37+E37</f>
        <v>144479.55000000002</v>
      </c>
      <c r="G37" s="155">
        <v>701623</v>
      </c>
    </row>
    <row r="38" spans="2:7" ht="19.5" customHeight="1" x14ac:dyDescent="0.3">
      <c r="B38" s="137" t="s">
        <v>315</v>
      </c>
      <c r="C38" s="156">
        <f>IF(C14&lt;&gt;0,C37/C14,0)</f>
        <v>0.14321693121693121</v>
      </c>
      <c r="D38" s="156">
        <f>IF(D14&lt;&gt;0,D37/D14,0)</f>
        <v>0.18853886693017136</v>
      </c>
      <c r="E38" s="156">
        <f>IF(E14&lt;&gt;0,E37/E14,0)</f>
        <v>0.25355319148936173</v>
      </c>
      <c r="F38" s="139">
        <f>C38+D38+E38</f>
        <v>0.58530898963646427</v>
      </c>
      <c r="G38" s="140">
        <v>0.21190000000000001</v>
      </c>
    </row>
    <row r="39" spans="2:7" ht="19.5" customHeight="1" x14ac:dyDescent="0.3">
      <c r="B39" s="137" t="s">
        <v>316</v>
      </c>
      <c r="C39" s="157" t="str">
        <f>IF(C36&gt;=0.15,"YES "&amp;TEXT(C36,"0.0%"),"NO "&amp;TEXT(C36,"0.0%"))</f>
        <v>YES 16.8%</v>
      </c>
      <c r="D39" s="157" t="str">
        <f>IF(D36&gt;=0.15,"YES "&amp;TEXT(D36,"0.0%"),"NO "&amp;TEXT(D36,"0.0%"))</f>
        <v>YES 21.4%</v>
      </c>
      <c r="E39" s="157" t="str">
        <f>IF(E36&gt;=0.15,"YES "&amp;TEXT(E36,"0.0%"),"NO "&amp;TEXT(E36,"0.0%"))</f>
        <v>YES 27.9%</v>
      </c>
      <c r="F39" s="158" t="s">
        <v>317</v>
      </c>
      <c r="G39" s="159" t="s">
        <v>318</v>
      </c>
    </row>
    <row r="41" spans="2:7" ht="24" customHeight="1" x14ac:dyDescent="0.3">
      <c r="B41" s="178" t="s">
        <v>319</v>
      </c>
      <c r="C41" s="178"/>
      <c r="D41" s="178"/>
      <c r="E41" s="178"/>
      <c r="F41" s="178"/>
      <c r="G41" s="178"/>
    </row>
    <row r="42" spans="2:7" ht="13.5" customHeight="1" x14ac:dyDescent="0.3">
      <c r="B42" s="179" t="s">
        <v>320</v>
      </c>
      <c r="C42" s="179"/>
      <c r="D42" s="179"/>
      <c r="E42" s="179"/>
      <c r="F42" s="179"/>
      <c r="G42" s="179"/>
    </row>
    <row r="43" spans="2:7" ht="6" customHeight="1" x14ac:dyDescent="0.3">
      <c r="B43" s="180"/>
      <c r="C43" s="180"/>
      <c r="D43" s="180"/>
      <c r="E43" s="180"/>
      <c r="F43" s="180"/>
      <c r="G43" s="180"/>
    </row>
    <row r="44" spans="2:7" ht="13.5" customHeight="1" x14ac:dyDescent="0.3">
      <c r="B44" s="181" t="s">
        <v>321</v>
      </c>
      <c r="C44" s="181"/>
      <c r="D44" s="181"/>
      <c r="E44" s="181"/>
      <c r="F44" s="181"/>
      <c r="G44" s="181"/>
    </row>
    <row r="45" spans="2:7" ht="13.5" customHeight="1" x14ac:dyDescent="0.3">
      <c r="B45" s="182" t="s">
        <v>322</v>
      </c>
      <c r="C45" s="182"/>
      <c r="D45" s="182"/>
      <c r="E45" s="182"/>
      <c r="F45" s="182"/>
      <c r="G45" s="182"/>
    </row>
    <row r="46" spans="2:7" ht="13.5" customHeight="1" x14ac:dyDescent="0.3">
      <c r="B46" s="183" t="s">
        <v>323</v>
      </c>
      <c r="C46" s="183"/>
      <c r="D46" s="183"/>
      <c r="E46" s="183"/>
      <c r="F46" s="183"/>
      <c r="G46" s="183"/>
    </row>
    <row r="47" spans="2:7" ht="13.5" customHeight="1" x14ac:dyDescent="0.3">
      <c r="B47" s="182" t="s">
        <v>324</v>
      </c>
      <c r="C47" s="182"/>
      <c r="D47" s="182"/>
      <c r="E47" s="182"/>
      <c r="F47" s="182"/>
      <c r="G47" s="182"/>
    </row>
    <row r="48" spans="2:7" ht="13.5" customHeight="1" x14ac:dyDescent="0.3">
      <c r="B48" s="183" t="s">
        <v>325</v>
      </c>
      <c r="C48" s="183"/>
      <c r="D48" s="183"/>
      <c r="E48" s="183"/>
      <c r="F48" s="183"/>
      <c r="G48" s="183"/>
    </row>
    <row r="49" spans="2:7" ht="13.5" customHeight="1" x14ac:dyDescent="0.3">
      <c r="B49" s="182" t="s">
        <v>326</v>
      </c>
      <c r="C49" s="182"/>
      <c r="D49" s="182"/>
      <c r="E49" s="182"/>
      <c r="F49" s="182"/>
      <c r="G49" s="182"/>
    </row>
    <row r="50" spans="2:7" ht="6" customHeight="1" x14ac:dyDescent="0.3">
      <c r="B50" s="184"/>
      <c r="C50" s="184"/>
      <c r="D50" s="184"/>
      <c r="E50" s="184"/>
      <c r="F50" s="184"/>
      <c r="G50" s="184"/>
    </row>
    <row r="51" spans="2:7" ht="13.5" customHeight="1" x14ac:dyDescent="0.3">
      <c r="B51" s="185" t="s">
        <v>327</v>
      </c>
      <c r="C51" s="185"/>
      <c r="D51" s="185"/>
      <c r="E51" s="185"/>
      <c r="F51" s="185"/>
      <c r="G51" s="185"/>
    </row>
    <row r="52" spans="2:7" ht="13.5" customHeight="1" x14ac:dyDescent="0.3">
      <c r="B52" s="186" t="s">
        <v>328</v>
      </c>
      <c r="C52" s="186"/>
      <c r="D52" s="186"/>
      <c r="E52" s="186"/>
      <c r="F52" s="186"/>
      <c r="G52" s="186"/>
    </row>
    <row r="53" spans="2:7" ht="13.5" customHeight="1" x14ac:dyDescent="0.3">
      <c r="B53" s="187" t="s">
        <v>329</v>
      </c>
      <c r="C53" s="187"/>
      <c r="D53" s="187"/>
      <c r="E53" s="187"/>
      <c r="F53" s="187"/>
      <c r="G53" s="187"/>
    </row>
    <row r="54" spans="2:7" ht="13.5" customHeight="1" x14ac:dyDescent="0.3">
      <c r="B54" s="186" t="s">
        <v>330</v>
      </c>
      <c r="C54" s="186"/>
      <c r="D54" s="186"/>
      <c r="E54" s="186"/>
      <c r="F54" s="186"/>
      <c r="G54" s="186"/>
    </row>
    <row r="55" spans="2:7" ht="6" customHeight="1" x14ac:dyDescent="0.3">
      <c r="B55" s="180"/>
      <c r="C55" s="180"/>
      <c r="D55" s="180"/>
      <c r="E55" s="180"/>
      <c r="F55" s="180"/>
      <c r="G55" s="180"/>
    </row>
    <row r="56" spans="2:7" ht="13.5" customHeight="1" x14ac:dyDescent="0.3">
      <c r="B56" s="181" t="s">
        <v>331</v>
      </c>
      <c r="C56" s="181"/>
      <c r="D56" s="181"/>
      <c r="E56" s="181"/>
      <c r="F56" s="181"/>
      <c r="G56" s="181"/>
    </row>
    <row r="57" spans="2:7" ht="13.5" customHeight="1" x14ac:dyDescent="0.3">
      <c r="B57" s="188" t="s">
        <v>332</v>
      </c>
      <c r="C57" s="188"/>
      <c r="D57" s="188"/>
      <c r="E57" s="188"/>
      <c r="F57" s="188"/>
      <c r="G57" s="188"/>
    </row>
    <row r="58" spans="2:7" ht="13.5" customHeight="1" x14ac:dyDescent="0.3">
      <c r="B58" s="183" t="s">
        <v>333</v>
      </c>
      <c r="C58" s="183"/>
      <c r="D58" s="183"/>
      <c r="E58" s="183"/>
      <c r="F58" s="183"/>
      <c r="G58" s="183"/>
    </row>
    <row r="59" spans="2:7" ht="13.5" customHeight="1" x14ac:dyDescent="0.3">
      <c r="B59" s="182" t="s">
        <v>334</v>
      </c>
      <c r="C59" s="182"/>
      <c r="D59" s="182"/>
      <c r="E59" s="182"/>
      <c r="F59" s="182"/>
      <c r="G59" s="182"/>
    </row>
    <row r="60" spans="2:7" ht="13.5" customHeight="1" x14ac:dyDescent="0.3">
      <c r="B60" s="183" t="s">
        <v>335</v>
      </c>
      <c r="C60" s="183"/>
      <c r="D60" s="183"/>
      <c r="E60" s="183"/>
      <c r="F60" s="183"/>
      <c r="G60" s="183"/>
    </row>
    <row r="61" spans="2:7" ht="13.5" customHeight="1" x14ac:dyDescent="0.3">
      <c r="B61" s="189" t="s">
        <v>336</v>
      </c>
      <c r="C61" s="189"/>
      <c r="D61" s="189"/>
      <c r="E61" s="189"/>
      <c r="F61" s="189"/>
      <c r="G61" s="189"/>
    </row>
    <row r="62" spans="2:7" ht="13.5" customHeight="1" x14ac:dyDescent="0.3">
      <c r="B62" s="183" t="s">
        <v>337</v>
      </c>
      <c r="C62" s="183"/>
      <c r="D62" s="183"/>
      <c r="E62" s="183"/>
      <c r="F62" s="183"/>
      <c r="G62" s="183"/>
    </row>
    <row r="63" spans="2:7" ht="13.5" customHeight="1" x14ac:dyDescent="0.3">
      <c r="B63" s="182" t="s">
        <v>338</v>
      </c>
      <c r="C63" s="182"/>
      <c r="D63" s="182"/>
      <c r="E63" s="182"/>
      <c r="F63" s="182"/>
      <c r="G63" s="182"/>
    </row>
    <row r="64" spans="2:7" ht="13.5" customHeight="1" x14ac:dyDescent="0.3">
      <c r="B64" s="183" t="s">
        <v>339</v>
      </c>
      <c r="C64" s="183"/>
      <c r="D64" s="183"/>
      <c r="E64" s="183"/>
      <c r="F64" s="183"/>
      <c r="G64" s="183"/>
    </row>
    <row r="65" spans="2:7" ht="13.5" customHeight="1" x14ac:dyDescent="0.3">
      <c r="B65" s="190" t="s">
        <v>340</v>
      </c>
      <c r="C65" s="190"/>
      <c r="D65" s="190"/>
      <c r="E65" s="190"/>
      <c r="F65" s="190"/>
      <c r="G65" s="190"/>
    </row>
    <row r="66" spans="2:7" ht="13.5" customHeight="1" x14ac:dyDescent="0.3">
      <c r="B66" s="183" t="s">
        <v>341</v>
      </c>
      <c r="C66" s="183"/>
      <c r="D66" s="183"/>
      <c r="E66" s="183"/>
      <c r="F66" s="183"/>
      <c r="G66" s="183"/>
    </row>
    <row r="67" spans="2:7" ht="13.5" customHeight="1" x14ac:dyDescent="0.3">
      <c r="B67" s="182" t="s">
        <v>342</v>
      </c>
      <c r="C67" s="182"/>
      <c r="D67" s="182"/>
      <c r="E67" s="182"/>
      <c r="F67" s="182"/>
      <c r="G67" s="182"/>
    </row>
    <row r="68" spans="2:7" ht="6" customHeight="1" x14ac:dyDescent="0.3">
      <c r="B68" s="184"/>
      <c r="C68" s="184"/>
      <c r="D68" s="184"/>
      <c r="E68" s="184"/>
      <c r="F68" s="184"/>
      <c r="G68" s="184"/>
    </row>
    <row r="69" spans="2:7" ht="13.5" customHeight="1" x14ac:dyDescent="0.3">
      <c r="B69" s="185" t="s">
        <v>343</v>
      </c>
      <c r="C69" s="185"/>
      <c r="D69" s="185"/>
      <c r="E69" s="185"/>
      <c r="F69" s="185"/>
      <c r="G69" s="185"/>
    </row>
    <row r="70" spans="2:7" ht="13.5" customHeight="1" x14ac:dyDescent="0.3">
      <c r="B70" s="183" t="s">
        <v>344</v>
      </c>
      <c r="C70" s="183"/>
      <c r="D70" s="183"/>
      <c r="E70" s="183"/>
      <c r="F70" s="183"/>
      <c r="G70" s="183"/>
    </row>
    <row r="71" spans="2:7" ht="13.5" customHeight="1" x14ac:dyDescent="0.3">
      <c r="B71" s="179" t="s">
        <v>345</v>
      </c>
      <c r="C71" s="179"/>
      <c r="D71" s="179"/>
      <c r="E71" s="179"/>
      <c r="F71" s="179"/>
      <c r="G71" s="179"/>
    </row>
    <row r="72" spans="2:7" ht="13.5" customHeight="1" x14ac:dyDescent="0.3">
      <c r="B72" s="183" t="s">
        <v>346</v>
      </c>
      <c r="C72" s="183"/>
      <c r="D72" s="183"/>
      <c r="E72" s="183"/>
      <c r="F72" s="183"/>
      <c r="G72" s="183"/>
    </row>
    <row r="73" spans="2:7" ht="6" customHeight="1" x14ac:dyDescent="0.3">
      <c r="B73" s="180"/>
      <c r="C73" s="180"/>
      <c r="D73" s="180"/>
      <c r="E73" s="180"/>
      <c r="F73" s="180"/>
      <c r="G73" s="180"/>
    </row>
    <row r="74" spans="2:7" ht="13.5" customHeight="1" x14ac:dyDescent="0.3">
      <c r="B74" s="188" t="s">
        <v>347</v>
      </c>
      <c r="C74" s="188"/>
      <c r="D74" s="188"/>
      <c r="E74" s="188"/>
      <c r="F74" s="188"/>
      <c r="G74" s="188"/>
    </row>
    <row r="75" spans="2:7" ht="13.5" customHeight="1" x14ac:dyDescent="0.3">
      <c r="B75" s="191" t="s">
        <v>348</v>
      </c>
      <c r="C75" s="191"/>
      <c r="D75" s="191"/>
      <c r="E75" s="191"/>
      <c r="F75" s="191"/>
      <c r="G75" s="191"/>
    </row>
    <row r="76" spans="2:7" ht="13.5" customHeight="1" x14ac:dyDescent="0.3">
      <c r="B76" s="188" t="s">
        <v>349</v>
      </c>
      <c r="C76" s="188"/>
      <c r="D76" s="188"/>
      <c r="E76" s="188"/>
      <c r="F76" s="188"/>
      <c r="G76" s="188"/>
    </row>
    <row r="77" spans="2:7" ht="13.5" customHeight="1" x14ac:dyDescent="0.3">
      <c r="B77" s="191" t="s">
        <v>350</v>
      </c>
      <c r="C77" s="191"/>
      <c r="D77" s="191"/>
      <c r="E77" s="191"/>
      <c r="F77" s="191"/>
      <c r="G77" s="191"/>
    </row>
  </sheetData>
  <mergeCells count="43">
    <mergeCell ref="B75:G75"/>
    <mergeCell ref="B76:G76"/>
    <mergeCell ref="B77:G77"/>
    <mergeCell ref="B70:G70"/>
    <mergeCell ref="B71:G71"/>
    <mergeCell ref="B72:G72"/>
    <mergeCell ref="B73:G73"/>
    <mergeCell ref="B74:G74"/>
    <mergeCell ref="B65:G65"/>
    <mergeCell ref="B66:G66"/>
    <mergeCell ref="B67:G67"/>
    <mergeCell ref="B68:G68"/>
    <mergeCell ref="B69:G69"/>
    <mergeCell ref="B60:G60"/>
    <mergeCell ref="B61:G61"/>
    <mergeCell ref="B62:G62"/>
    <mergeCell ref="B63:G63"/>
    <mergeCell ref="B64:G64"/>
    <mergeCell ref="B55:G55"/>
    <mergeCell ref="B56:G56"/>
    <mergeCell ref="B57:G57"/>
    <mergeCell ref="B58:G58"/>
    <mergeCell ref="B59:G59"/>
    <mergeCell ref="B50:G50"/>
    <mergeCell ref="B51:G51"/>
    <mergeCell ref="B52:G52"/>
    <mergeCell ref="B53:G53"/>
    <mergeCell ref="B54:G54"/>
    <mergeCell ref="B45:G45"/>
    <mergeCell ref="B46:G46"/>
    <mergeCell ref="B47:G47"/>
    <mergeCell ref="B48:G48"/>
    <mergeCell ref="B49:G49"/>
    <mergeCell ref="B34:G34"/>
    <mergeCell ref="B41:G41"/>
    <mergeCell ref="B42:G42"/>
    <mergeCell ref="B43:G43"/>
    <mergeCell ref="B44:G44"/>
    <mergeCell ref="B1:J1"/>
    <mergeCell ref="B5:G5"/>
    <mergeCell ref="B13:G13"/>
    <mergeCell ref="B20:G20"/>
    <mergeCell ref="B26:G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Index</vt:lpstr>
      <vt:lpstr>🔍 Q4 Audit</vt:lpstr>
      <vt:lpstr>📊 Daily Data</vt:lpstr>
      <vt:lpstr>🧮 Assumptions</vt:lpstr>
      <vt:lpstr>📈 Q1 2026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Patil</cp:lastModifiedBy>
  <cp:revision>0</cp:revision>
  <dcterms:created xsi:type="dcterms:W3CDTF">2026-04-11T19:20:51Z</dcterms:created>
  <dcterms:modified xsi:type="dcterms:W3CDTF">2026-04-13T08:00:17Z</dcterms:modified>
  <dc:language>en-US</dc:language>
</cp:coreProperties>
</file>